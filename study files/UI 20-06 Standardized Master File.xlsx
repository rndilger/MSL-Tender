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UI 23-16 Chop Photo Database\Completed\UI 20-06 Choice Genetics Benchmark 7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7" i="1" l="1"/>
  <c r="C8" i="1" l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3" i="1"/>
  <c r="C4" i="1"/>
  <c r="C5" i="1"/>
  <c r="C6" i="1"/>
</calcChain>
</file>

<file path=xl/sharedStrings.xml><?xml version="1.0" encoding="utf-8"?>
<sst xmlns="http://schemas.openxmlformats.org/spreadsheetml/2006/main" count="480" uniqueCount="106">
  <si>
    <t>Study#</t>
  </si>
  <si>
    <t>Block</t>
  </si>
  <si>
    <t>Sireline</t>
  </si>
  <si>
    <t>Setting</t>
  </si>
  <si>
    <t>Sex</t>
  </si>
  <si>
    <t>Original Chop ID</t>
  </si>
  <si>
    <t>Standardized Chop ID</t>
  </si>
  <si>
    <t>d of display</t>
  </si>
  <si>
    <t>d aging</t>
  </si>
  <si>
    <t>pH</t>
  </si>
  <si>
    <t>Ventral Color</t>
  </si>
  <si>
    <t>Ventral Marbling</t>
  </si>
  <si>
    <t>Ventral Firmness</t>
  </si>
  <si>
    <t>Chop Color</t>
  </si>
  <si>
    <t>Chop Marbling</t>
  </si>
  <si>
    <t>Chop Firmness</t>
  </si>
  <si>
    <t>Moisture %</t>
  </si>
  <si>
    <t>Fat %</t>
  </si>
  <si>
    <t>Minolta Ventral L*</t>
  </si>
  <si>
    <t>Minolta Ventral a*</t>
  </si>
  <si>
    <t>Minolta Ventral b*</t>
  </si>
  <si>
    <t>Minolta Chop L*</t>
  </si>
  <si>
    <t>Minolta Chop a*</t>
  </si>
  <si>
    <t>Minolta Chop b*</t>
  </si>
  <si>
    <t>02</t>
  </si>
  <si>
    <t>G</t>
  </si>
  <si>
    <t>Y</t>
  </si>
  <si>
    <t>B</t>
  </si>
  <si>
    <t>.</t>
  </si>
  <si>
    <t>00</t>
  </si>
  <si>
    <t>0147</t>
  </si>
  <si>
    <t>0078</t>
  </si>
  <si>
    <t>0100</t>
  </si>
  <si>
    <t>0116</t>
  </si>
  <si>
    <t>0112</t>
  </si>
  <si>
    <t>0007</t>
  </si>
  <si>
    <t>0104</t>
  </si>
  <si>
    <t>0141</t>
  </si>
  <si>
    <t>0004</t>
  </si>
  <si>
    <t>0027</t>
  </si>
  <si>
    <t>0068</t>
  </si>
  <si>
    <t>0105</t>
  </si>
  <si>
    <t>0115</t>
  </si>
  <si>
    <t>0130</t>
  </si>
  <si>
    <t>0132</t>
  </si>
  <si>
    <t>0098</t>
  </si>
  <si>
    <t>0109</t>
  </si>
  <si>
    <t>0065</t>
  </si>
  <si>
    <t>0005</t>
  </si>
  <si>
    <t>0142</t>
  </si>
  <si>
    <t>0146</t>
  </si>
  <si>
    <t>0139</t>
  </si>
  <si>
    <t>0022</t>
  </si>
  <si>
    <t>0106</t>
  </si>
  <si>
    <t>0003</t>
  </si>
  <si>
    <t>0026</t>
  </si>
  <si>
    <t>0083</t>
  </si>
  <si>
    <t>0030</t>
  </si>
  <si>
    <t>0023</t>
  </si>
  <si>
    <t>0081</t>
  </si>
  <si>
    <t>0032</t>
  </si>
  <si>
    <t>0080</t>
  </si>
  <si>
    <t>0103</t>
  </si>
  <si>
    <t>0015</t>
  </si>
  <si>
    <t>0016</t>
  </si>
  <si>
    <t>0137</t>
  </si>
  <si>
    <t>0135</t>
  </si>
  <si>
    <t>0071</t>
  </si>
  <si>
    <t>0012</t>
  </si>
  <si>
    <t>0121</t>
  </si>
  <si>
    <t>0134</t>
  </si>
  <si>
    <t>0054</t>
  </si>
  <si>
    <t>0063</t>
  </si>
  <si>
    <t>0051</t>
  </si>
  <si>
    <t>0075</t>
  </si>
  <si>
    <t>0035</t>
  </si>
  <si>
    <t>0119</t>
  </si>
  <si>
    <t>0039</t>
  </si>
  <si>
    <t>0047</t>
  </si>
  <si>
    <t>0052</t>
  </si>
  <si>
    <t>0048</t>
  </si>
  <si>
    <t>0070</t>
  </si>
  <si>
    <t>0060</t>
  </si>
  <si>
    <t>0058</t>
  </si>
  <si>
    <t>0092</t>
  </si>
  <si>
    <t>0074</t>
  </si>
  <si>
    <t>0019</t>
  </si>
  <si>
    <t>0126</t>
  </si>
  <si>
    <t>0042</t>
  </si>
  <si>
    <t>0093</t>
  </si>
  <si>
    <t>0034</t>
  </si>
  <si>
    <t>0152</t>
  </si>
  <si>
    <t>0064</t>
  </si>
  <si>
    <t>0091</t>
  </si>
  <si>
    <t>0020</t>
  </si>
  <si>
    <t>0124</t>
  </si>
  <si>
    <t>0150</t>
  </si>
  <si>
    <t>0087</t>
  </si>
  <si>
    <t>0128</t>
  </si>
  <si>
    <t>0044</t>
  </si>
  <si>
    <t>0056</t>
  </si>
  <si>
    <t>0038</t>
  </si>
  <si>
    <t>0120</t>
  </si>
  <si>
    <t>0010</t>
  </si>
  <si>
    <t>0096</t>
  </si>
  <si>
    <t>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</si>
</sst>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quotePrefix="1"/>
    <xf numFmtId="2" fontId="0" fillId="0" borderId="0" xfId="0" applyNumberFormat="1" applyFill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164" fontId="0" fillId="0" borderId="0" xfId="0" applyNumberFormat="1" applyFill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0" fillId="0" borderId="0" xfId="0" quotePrefix="1" applyFill="1" applyBorder="1" applyAlignment="1">
      <alignment horizontal="center"/>
    </xf>
    <xf numFmtId="0" fontId="0" fillId="0" borderId="1" xfId="0" quotePrefix="1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2" borderId="0" xfId="0" applyNumberFormat="1" applyFill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tabSelected="1" workbookViewId="0">
      <selection activeCell="C34" sqref="C34"/>
    </sheetView>
  </sheetViews>
  <sheetFormatPr defaultRowHeight="15" x14ac:dyDescent="0.25"/>
  <cols>
    <col min="2" max="2" width="15.42578125" bestFit="1" customWidth="1"/>
    <col min="3" max="3" width="20.140625" bestFit="1" customWidth="1"/>
    <col min="8" max="8" width="10.42578125" customWidth="1"/>
    <col min="9" max="9" width="13.85546875" customWidth="1"/>
    <col min="11" max="11" width="12.7109375" bestFit="1" customWidth="1"/>
    <col min="12" max="12" width="16" bestFit="1" customWidth="1"/>
    <col min="13" max="13" width="16.140625" bestFit="1" customWidth="1"/>
    <col min="14" max="14" width="17.42578125" bestFit="1" customWidth="1"/>
    <col min="15" max="15" width="17.5703125" bestFit="1" customWidth="1"/>
    <col min="16" max="16" width="17.7109375" bestFit="1" customWidth="1"/>
    <col min="17" max="17" width="10.7109375" bestFit="1" customWidth="1"/>
    <col min="18" max="18" width="14" bestFit="1" customWidth="1"/>
    <col min="19" max="19" width="14.140625" bestFit="1" customWidth="1"/>
    <col min="20" max="20" width="15.28515625" bestFit="1" customWidth="1"/>
    <col min="21" max="21" width="15.42578125" bestFit="1" customWidth="1"/>
    <col min="22" max="22" width="15.5703125" bestFit="1" customWidth="1"/>
  </cols>
  <sheetData>
    <row r="1" spans="1:24" x14ac:dyDescent="0.25">
      <c r="A1" t="s">
        <v>0</v>
      </c>
      <c r="B1" t="s">
        <v>5</v>
      </c>
      <c r="C1" t="s">
        <v>6</v>
      </c>
      <c r="D1" t="s">
        <v>1</v>
      </c>
      <c r="E1" t="s">
        <v>3</v>
      </c>
      <c r="F1" t="s">
        <v>4</v>
      </c>
      <c r="G1" t="s">
        <v>2</v>
      </c>
      <c r="H1" t="s">
        <v>8</v>
      </c>
      <c r="I1" t="s">
        <v>7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18</v>
      </c>
      <c r="O1" s="1" t="s">
        <v>19</v>
      </c>
      <c r="P1" s="1" t="s">
        <v>20</v>
      </c>
      <c r="Q1" s="1" t="s">
        <v>13</v>
      </c>
      <c r="R1" s="1" t="s">
        <v>14</v>
      </c>
      <c r="S1" s="1" t="s">
        <v>15</v>
      </c>
      <c r="T1" s="1" t="s">
        <v>21</v>
      </c>
      <c r="U1" s="1" t="s">
        <v>22</v>
      </c>
      <c r="V1" s="1" t="s">
        <v>23</v>
      </c>
      <c r="W1" s="1" t="s">
        <v>16</v>
      </c>
      <c r="X1" s="1" t="s">
        <v>17</v>
      </c>
    </row>
    <row r="2" spans="1:24" x14ac:dyDescent="0.25">
      <c r="A2">
        <v>2006</v>
      </c>
      <c r="B2" s="11" t="s">
        <v>30</v>
      </c>
      <c r="C2" t="str">
        <f>CONCATENATE(A2,"B",D2,"C",B2,"D",H2)</f>
        <v>2006B02C0147D00</v>
      </c>
      <c r="D2" s="4" t="s">
        <v>24</v>
      </c>
      <c r="F2" s="2" t="s">
        <v>27</v>
      </c>
      <c r="G2" s="2" t="s">
        <v>25</v>
      </c>
      <c r="H2" s="4" t="s">
        <v>29</v>
      </c>
      <c r="I2" t="s">
        <v>28</v>
      </c>
      <c r="J2" s="5">
        <v>5.61</v>
      </c>
      <c r="K2" s="8">
        <v>3</v>
      </c>
      <c r="L2" s="8">
        <v>2</v>
      </c>
      <c r="M2" s="8">
        <v>2</v>
      </c>
      <c r="N2" s="5">
        <v>48.970355491965648</v>
      </c>
      <c r="O2" s="5">
        <v>9.7842365348081994</v>
      </c>
      <c r="P2" s="5">
        <v>5.5041389568061927</v>
      </c>
      <c r="Q2" s="8">
        <v>3</v>
      </c>
      <c r="R2" s="8">
        <v>1.5</v>
      </c>
      <c r="S2" s="8">
        <v>3</v>
      </c>
      <c r="T2" s="5">
        <v>52.092897391402488</v>
      </c>
      <c r="U2" s="5">
        <v>9.4185860205429073</v>
      </c>
      <c r="V2" s="5">
        <v>5.8299763759623202</v>
      </c>
    </row>
    <row r="3" spans="1:24" x14ac:dyDescent="0.25">
      <c r="A3">
        <v>2006</v>
      </c>
      <c r="B3" s="11" t="s">
        <v>31</v>
      </c>
      <c r="C3" t="str">
        <f t="shared" ref="C3:C66" si="0">CONCATENATE(A3,"B",D3,"C",B3,"D",H3)</f>
        <v>2006B02C0078D00</v>
      </c>
      <c r="D3" s="4" t="s">
        <v>24</v>
      </c>
      <c r="F3" s="2" t="s">
        <v>25</v>
      </c>
      <c r="G3" s="2" t="s">
        <v>25</v>
      </c>
      <c r="H3" s="4" t="s">
        <v>29</v>
      </c>
      <c r="I3" t="s">
        <v>28</v>
      </c>
      <c r="J3" s="5">
        <v>5.61</v>
      </c>
      <c r="K3" s="8">
        <v>3</v>
      </c>
      <c r="L3" s="8">
        <v>1.5</v>
      </c>
      <c r="M3" s="8">
        <v>2</v>
      </c>
      <c r="N3" s="5">
        <v>46.505252183687368</v>
      </c>
      <c r="O3" s="5">
        <v>7.5694934657297708</v>
      </c>
      <c r="P3" s="5">
        <v>4.1445150933807406</v>
      </c>
      <c r="Q3" s="8">
        <v>3</v>
      </c>
      <c r="R3" s="8">
        <v>1.5</v>
      </c>
      <c r="S3" s="8">
        <v>3</v>
      </c>
      <c r="T3" s="5">
        <v>56.303411955011271</v>
      </c>
      <c r="U3" s="5">
        <v>7.6824153152220127</v>
      </c>
      <c r="V3" s="5">
        <v>6.0317040173816228</v>
      </c>
    </row>
    <row r="4" spans="1:24" x14ac:dyDescent="0.25">
      <c r="A4">
        <v>2006</v>
      </c>
      <c r="B4" s="11" t="s">
        <v>32</v>
      </c>
      <c r="C4" t="str">
        <f t="shared" si="0"/>
        <v>2006B02C0100D00</v>
      </c>
      <c r="D4" s="4" t="s">
        <v>24</v>
      </c>
      <c r="F4" s="2" t="s">
        <v>27</v>
      </c>
      <c r="G4" s="2" t="s">
        <v>25</v>
      </c>
      <c r="H4" s="4" t="s">
        <v>29</v>
      </c>
      <c r="I4" t="s">
        <v>28</v>
      </c>
      <c r="J4" s="6">
        <v>5.62</v>
      </c>
      <c r="K4" s="9">
        <v>4</v>
      </c>
      <c r="L4" s="9">
        <v>1</v>
      </c>
      <c r="M4" s="9">
        <v>3</v>
      </c>
      <c r="N4" s="6">
        <v>44.511296044354566</v>
      </c>
      <c r="O4" s="6">
        <v>10.465287707024428</v>
      </c>
      <c r="P4" s="6">
        <v>2.4298202111119327</v>
      </c>
      <c r="Q4" s="9">
        <v>4</v>
      </c>
      <c r="R4" s="9">
        <v>1.5</v>
      </c>
      <c r="S4" s="9">
        <v>3</v>
      </c>
      <c r="T4" s="6">
        <v>46.555817415178822</v>
      </c>
      <c r="U4" s="6">
        <v>9.8824204631157144</v>
      </c>
      <c r="V4" s="6">
        <v>3.0902115263260477</v>
      </c>
    </row>
    <row r="5" spans="1:24" ht="15.75" thickBot="1" x14ac:dyDescent="0.3">
      <c r="A5">
        <v>2006</v>
      </c>
      <c r="B5" s="12" t="s">
        <v>33</v>
      </c>
      <c r="C5" t="str">
        <f t="shared" si="0"/>
        <v>2006B02C0116D00</v>
      </c>
      <c r="D5" s="4" t="s">
        <v>24</v>
      </c>
      <c r="F5" s="3" t="s">
        <v>25</v>
      </c>
      <c r="G5" s="3" t="s">
        <v>25</v>
      </c>
      <c r="H5" s="4" t="s">
        <v>29</v>
      </c>
      <c r="I5" t="s">
        <v>28</v>
      </c>
      <c r="J5" s="7">
        <v>5.74</v>
      </c>
      <c r="K5" s="10">
        <v>3.5</v>
      </c>
      <c r="L5" s="10">
        <v>1</v>
      </c>
      <c r="M5" s="10">
        <v>3</v>
      </c>
      <c r="N5" s="7">
        <v>46.312890121879029</v>
      </c>
      <c r="O5" s="7">
        <v>7.314491075406881</v>
      </c>
      <c r="P5" s="7">
        <v>4.6104312245795365</v>
      </c>
      <c r="Q5" s="10">
        <v>3.5</v>
      </c>
      <c r="R5" s="10">
        <v>1.5</v>
      </c>
      <c r="S5" s="10">
        <v>3</v>
      </c>
      <c r="T5" s="7">
        <v>49.832770685586382</v>
      </c>
      <c r="U5" s="7">
        <v>6.9877211334332667</v>
      </c>
      <c r="V5" s="7">
        <v>4.4673355108963309</v>
      </c>
    </row>
    <row r="6" spans="1:24" x14ac:dyDescent="0.25">
      <c r="A6">
        <v>2006</v>
      </c>
      <c r="B6" s="11" t="s">
        <v>34</v>
      </c>
      <c r="C6" t="str">
        <f t="shared" si="0"/>
        <v>2006B02C0112D00</v>
      </c>
      <c r="D6" s="4" t="s">
        <v>24</v>
      </c>
      <c r="F6" s="2" t="s">
        <v>25</v>
      </c>
      <c r="G6" s="2" t="s">
        <v>25</v>
      </c>
      <c r="H6" s="4" t="s">
        <v>29</v>
      </c>
      <c r="I6" t="s">
        <v>28</v>
      </c>
      <c r="J6" s="6">
        <v>5.66</v>
      </c>
      <c r="K6" s="9">
        <v>4</v>
      </c>
      <c r="L6" s="9">
        <v>1</v>
      </c>
      <c r="M6" s="9">
        <v>4</v>
      </c>
      <c r="N6" s="6">
        <v>45.513431443637892</v>
      </c>
      <c r="O6" s="6">
        <v>7.0658551356640453</v>
      </c>
      <c r="P6" s="6">
        <v>0.74471078106512767</v>
      </c>
      <c r="Q6" s="9">
        <v>4</v>
      </c>
      <c r="R6" s="9">
        <v>2.5</v>
      </c>
      <c r="S6" s="9">
        <v>4</v>
      </c>
      <c r="T6" s="6">
        <v>48.783697112982907</v>
      </c>
      <c r="U6" s="6">
        <v>7.9502535038948885</v>
      </c>
      <c r="V6" s="6">
        <v>3.3217987315060871</v>
      </c>
    </row>
    <row r="7" spans="1:24" x14ac:dyDescent="0.25">
      <c r="A7">
        <v>2006</v>
      </c>
      <c r="B7" s="11" t="s">
        <v>35</v>
      </c>
      <c r="C7" t="str">
        <f>CONCATENATE(A7,"B",D7,"C",B7,"D",H7)</f>
        <v>2006B02C0007D00</v>
      </c>
      <c r="D7" s="4" t="s">
        <v>24</v>
      </c>
      <c r="F7" s="2" t="s">
        <v>27</v>
      </c>
      <c r="G7" s="2" t="s">
        <v>25</v>
      </c>
      <c r="H7" s="4" t="s">
        <v>29</v>
      </c>
      <c r="I7" t="s">
        <v>28</v>
      </c>
      <c r="J7" s="5">
        <v>5.43</v>
      </c>
      <c r="K7" s="8">
        <v>3</v>
      </c>
      <c r="L7" s="8">
        <v>1</v>
      </c>
      <c r="M7" s="8">
        <v>3</v>
      </c>
      <c r="N7" s="5">
        <v>51.411696068604428</v>
      </c>
      <c r="O7" s="5">
        <v>6.4403657667842502</v>
      </c>
      <c r="P7" s="5">
        <v>4.0780897586539355</v>
      </c>
      <c r="Q7" s="8">
        <v>3</v>
      </c>
      <c r="R7" s="8">
        <v>1</v>
      </c>
      <c r="S7" s="8">
        <v>3</v>
      </c>
      <c r="T7" s="5">
        <v>53.349917308407086</v>
      </c>
      <c r="U7" s="5">
        <v>6.5819909758679795</v>
      </c>
      <c r="V7" s="5">
        <v>3.065714793898211</v>
      </c>
    </row>
    <row r="8" spans="1:24" x14ac:dyDescent="0.25">
      <c r="A8">
        <v>2006</v>
      </c>
      <c r="B8" s="11" t="s">
        <v>36</v>
      </c>
      <c r="C8" t="str">
        <f t="shared" si="0"/>
        <v>2006B02C0104D00</v>
      </c>
      <c r="D8" s="4" t="s">
        <v>24</v>
      </c>
      <c r="F8" s="2" t="s">
        <v>25</v>
      </c>
      <c r="G8" s="2" t="s">
        <v>25</v>
      </c>
      <c r="H8" s="4" t="s">
        <v>29</v>
      </c>
      <c r="I8" t="s">
        <v>28</v>
      </c>
      <c r="J8" s="6">
        <v>5.52</v>
      </c>
      <c r="K8" s="9">
        <v>3</v>
      </c>
      <c r="L8" s="9">
        <v>1.5</v>
      </c>
      <c r="M8" s="9">
        <v>2</v>
      </c>
      <c r="N8" s="6">
        <v>51.052565375206271</v>
      </c>
      <c r="O8" s="6">
        <v>9.8501547105159233</v>
      </c>
      <c r="P8" s="6">
        <v>4.391569794120076</v>
      </c>
      <c r="Q8" s="9">
        <v>3.5</v>
      </c>
      <c r="R8" s="9">
        <v>2</v>
      </c>
      <c r="S8" s="9">
        <v>3</v>
      </c>
      <c r="T8" s="6">
        <v>51.489462149376877</v>
      </c>
      <c r="U8" s="6">
        <v>8.1974674036122135</v>
      </c>
      <c r="V8" s="6">
        <v>3.692720286971185</v>
      </c>
    </row>
    <row r="9" spans="1:24" ht="15.75" thickBot="1" x14ac:dyDescent="0.3">
      <c r="A9">
        <v>2006</v>
      </c>
      <c r="B9" s="12" t="s">
        <v>37</v>
      </c>
      <c r="C9" t="str">
        <f t="shared" si="0"/>
        <v>2006B02C0141D00</v>
      </c>
      <c r="D9" s="4" t="s">
        <v>24</v>
      </c>
      <c r="F9" s="3" t="s">
        <v>27</v>
      </c>
      <c r="G9" s="3" t="s">
        <v>25</v>
      </c>
      <c r="H9" s="4" t="s">
        <v>29</v>
      </c>
      <c r="I9" t="s">
        <v>28</v>
      </c>
      <c r="J9" s="7">
        <v>5.46</v>
      </c>
      <c r="K9" s="10">
        <v>3.5</v>
      </c>
      <c r="L9" s="10">
        <v>1.5</v>
      </c>
      <c r="M9" s="10">
        <v>3</v>
      </c>
      <c r="N9" s="7">
        <v>46.971864658634146</v>
      </c>
      <c r="O9" s="7">
        <v>10.022660121202676</v>
      </c>
      <c r="P9" s="7">
        <v>4.1860080888142193</v>
      </c>
      <c r="Q9" s="10">
        <v>3</v>
      </c>
      <c r="R9" s="10">
        <v>2</v>
      </c>
      <c r="S9" s="10">
        <v>3</v>
      </c>
      <c r="T9" s="7">
        <v>54.136119006619225</v>
      </c>
      <c r="U9" s="7">
        <v>7.523183420828639</v>
      </c>
      <c r="V9" s="7">
        <v>4.8322830897425284</v>
      </c>
    </row>
    <row r="10" spans="1:24" x14ac:dyDescent="0.25">
      <c r="A10">
        <v>2006</v>
      </c>
      <c r="B10" s="11" t="s">
        <v>38</v>
      </c>
      <c r="C10" t="str">
        <f t="shared" si="0"/>
        <v>2006B02C0004D00</v>
      </c>
      <c r="D10" s="4" t="s">
        <v>24</v>
      </c>
      <c r="F10" s="2" t="s">
        <v>25</v>
      </c>
      <c r="G10" s="2" t="s">
        <v>25</v>
      </c>
      <c r="H10" s="4" t="s">
        <v>29</v>
      </c>
      <c r="I10" t="s">
        <v>28</v>
      </c>
      <c r="J10" s="6">
        <v>5.52</v>
      </c>
      <c r="K10" s="9">
        <v>3</v>
      </c>
      <c r="L10" s="9">
        <v>1</v>
      </c>
      <c r="M10" s="9">
        <v>3</v>
      </c>
      <c r="N10" s="6">
        <v>47.65458894544502</v>
      </c>
      <c r="O10" s="6">
        <v>10.367263797042003</v>
      </c>
      <c r="P10" s="6">
        <v>6.1740500142900556</v>
      </c>
      <c r="Q10" s="9">
        <v>3</v>
      </c>
      <c r="R10" s="9">
        <v>1</v>
      </c>
      <c r="S10" s="9">
        <v>3</v>
      </c>
      <c r="T10" s="6">
        <v>55.881956987385465</v>
      </c>
      <c r="U10" s="6">
        <v>9.5506100017650475</v>
      </c>
      <c r="V10" s="6">
        <v>7.9187213621987329</v>
      </c>
    </row>
    <row r="11" spans="1:24" x14ac:dyDescent="0.25">
      <c r="A11">
        <v>2006</v>
      </c>
      <c r="B11" s="11" t="s">
        <v>39</v>
      </c>
      <c r="C11" t="str">
        <f t="shared" si="0"/>
        <v>2006B02C0027D00</v>
      </c>
      <c r="D11" s="4" t="s">
        <v>24</v>
      </c>
      <c r="F11" s="2" t="s">
        <v>27</v>
      </c>
      <c r="G11" s="2" t="s">
        <v>25</v>
      </c>
      <c r="H11" s="4" t="s">
        <v>29</v>
      </c>
      <c r="I11" t="s">
        <v>28</v>
      </c>
      <c r="J11" s="5">
        <v>5.74</v>
      </c>
      <c r="K11" s="8">
        <v>3</v>
      </c>
      <c r="L11" s="8">
        <v>2</v>
      </c>
      <c r="M11" s="8">
        <v>3</v>
      </c>
      <c r="N11" s="5">
        <v>49.180450008211778</v>
      </c>
      <c r="O11" s="5">
        <v>9.7890763132980609</v>
      </c>
      <c r="P11" s="5">
        <v>7.0892435627654571</v>
      </c>
      <c r="Q11" s="8">
        <v>3.5</v>
      </c>
      <c r="R11" s="8">
        <v>2</v>
      </c>
      <c r="S11" s="8">
        <v>3</v>
      </c>
      <c r="T11" s="5">
        <v>55.910140861496359</v>
      </c>
      <c r="U11" s="5">
        <v>9.1409346605869075</v>
      </c>
      <c r="V11" s="5">
        <v>6.6236962441166058</v>
      </c>
    </row>
    <row r="12" spans="1:24" x14ac:dyDescent="0.25">
      <c r="A12">
        <v>2006</v>
      </c>
      <c r="B12" s="11" t="s">
        <v>40</v>
      </c>
      <c r="C12" t="str">
        <f t="shared" si="0"/>
        <v>2006B02C0068D00</v>
      </c>
      <c r="D12" s="4" t="s">
        <v>24</v>
      </c>
      <c r="F12" s="2" t="s">
        <v>27</v>
      </c>
      <c r="G12" s="2" t="s">
        <v>25</v>
      </c>
      <c r="H12" s="4" t="s">
        <v>29</v>
      </c>
      <c r="I12" t="s">
        <v>28</v>
      </c>
      <c r="J12" s="6">
        <v>5.55</v>
      </c>
      <c r="K12" s="9">
        <v>3</v>
      </c>
      <c r="L12" s="9">
        <v>1.5</v>
      </c>
      <c r="M12" s="9">
        <v>4</v>
      </c>
      <c r="N12" s="6">
        <v>51.728497860245326</v>
      </c>
      <c r="O12" s="6">
        <v>7.6026272842646403</v>
      </c>
      <c r="P12" s="6">
        <v>4.5970450977375066</v>
      </c>
      <c r="Q12" s="9">
        <v>3</v>
      </c>
      <c r="R12" s="9">
        <v>2</v>
      </c>
      <c r="S12" s="9">
        <v>4</v>
      </c>
      <c r="T12" s="6">
        <v>50.759664319670279</v>
      </c>
      <c r="U12" s="6">
        <v>8.8427868505960294</v>
      </c>
      <c r="V12" s="6">
        <v>4.3658173875978035</v>
      </c>
    </row>
    <row r="13" spans="1:24" ht="15.75" thickBot="1" x14ac:dyDescent="0.3">
      <c r="A13">
        <v>2006</v>
      </c>
      <c r="B13" s="12" t="s">
        <v>41</v>
      </c>
      <c r="C13" t="str">
        <f t="shared" si="0"/>
        <v>2006B02C0105D00</v>
      </c>
      <c r="D13" s="4" t="s">
        <v>24</v>
      </c>
      <c r="F13" s="3" t="s">
        <v>25</v>
      </c>
      <c r="G13" s="3" t="s">
        <v>25</v>
      </c>
      <c r="H13" s="4" t="s">
        <v>29</v>
      </c>
      <c r="I13" t="s">
        <v>28</v>
      </c>
      <c r="J13" s="7">
        <v>5.67</v>
      </c>
      <c r="K13" s="10">
        <v>3.5</v>
      </c>
      <c r="L13" s="10">
        <v>2</v>
      </c>
      <c r="M13" s="10">
        <v>3</v>
      </c>
      <c r="N13" s="7">
        <v>48.118604649698767</v>
      </c>
      <c r="O13" s="7">
        <v>6.0559419774527949</v>
      </c>
      <c r="P13" s="7">
        <v>1.3966412793366967</v>
      </c>
      <c r="Q13" s="10">
        <v>3</v>
      </c>
      <c r="R13" s="10">
        <v>2</v>
      </c>
      <c r="S13" s="10">
        <v>3</v>
      </c>
      <c r="T13" s="7">
        <v>49.690803707926136</v>
      </c>
      <c r="U13" s="7">
        <v>8.1896257353047393</v>
      </c>
      <c r="V13" s="7">
        <v>4.6340464227955902</v>
      </c>
    </row>
    <row r="14" spans="1:24" x14ac:dyDescent="0.25">
      <c r="A14">
        <v>2006</v>
      </c>
      <c r="B14" s="11" t="s">
        <v>42</v>
      </c>
      <c r="C14" t="str">
        <f t="shared" si="0"/>
        <v>2006B02C0115D00</v>
      </c>
      <c r="D14" s="4" t="s">
        <v>24</v>
      </c>
      <c r="F14" s="2" t="s">
        <v>25</v>
      </c>
      <c r="G14" s="2" t="s">
        <v>25</v>
      </c>
      <c r="H14" s="4" t="s">
        <v>29</v>
      </c>
      <c r="I14" t="s">
        <v>28</v>
      </c>
      <c r="J14" s="6">
        <v>5.6</v>
      </c>
      <c r="K14" s="9">
        <v>3.5</v>
      </c>
      <c r="L14" s="9">
        <v>3</v>
      </c>
      <c r="M14" s="9">
        <v>4</v>
      </c>
      <c r="N14" s="6">
        <v>51.277471169318716</v>
      </c>
      <c r="O14" s="6">
        <v>8.0983478431577165</v>
      </c>
      <c r="P14" s="6">
        <v>5.3245348626641986</v>
      </c>
      <c r="Q14" s="9">
        <v>3.5</v>
      </c>
      <c r="R14" s="9">
        <v>1.5</v>
      </c>
      <c r="S14" s="9">
        <v>3</v>
      </c>
      <c r="T14" s="6">
        <v>53.079487352954501</v>
      </c>
      <c r="U14" s="6">
        <v>7.5032001474071297</v>
      </c>
      <c r="V14" s="6">
        <v>5.1768048890271201</v>
      </c>
    </row>
    <row r="15" spans="1:24" x14ac:dyDescent="0.25">
      <c r="A15">
        <v>2006</v>
      </c>
      <c r="B15" s="11" t="s">
        <v>43</v>
      </c>
      <c r="C15" t="str">
        <f t="shared" si="0"/>
        <v>2006B02C0130D00</v>
      </c>
      <c r="D15" s="4" t="s">
        <v>24</v>
      </c>
      <c r="F15" s="2" t="s">
        <v>25</v>
      </c>
      <c r="G15" s="2" t="s">
        <v>25</v>
      </c>
      <c r="H15" s="4" t="s">
        <v>29</v>
      </c>
      <c r="I15" t="s">
        <v>28</v>
      </c>
      <c r="J15" s="6">
        <v>5.57</v>
      </c>
      <c r="K15" s="9">
        <v>3</v>
      </c>
      <c r="L15" s="9">
        <v>2</v>
      </c>
      <c r="M15" s="9">
        <v>3</v>
      </c>
      <c r="N15" s="6">
        <v>51.1680898194912</v>
      </c>
      <c r="O15" s="6">
        <v>6.2828674221682697</v>
      </c>
      <c r="P15" s="6">
        <v>3.5977472044359082</v>
      </c>
      <c r="Q15" s="9">
        <v>3.5</v>
      </c>
      <c r="R15" s="9">
        <v>2</v>
      </c>
      <c r="S15" s="9">
        <v>3</v>
      </c>
      <c r="T15" s="6">
        <v>49.039307897645415</v>
      </c>
      <c r="U15" s="6">
        <v>7.161731470538224</v>
      </c>
      <c r="V15" s="6">
        <v>3.2767408063899994</v>
      </c>
    </row>
    <row r="16" spans="1:24" x14ac:dyDescent="0.25">
      <c r="A16">
        <v>2006</v>
      </c>
      <c r="B16" s="11" t="s">
        <v>44</v>
      </c>
      <c r="C16" t="str">
        <f t="shared" si="0"/>
        <v>2006B02C0132D00</v>
      </c>
      <c r="D16" s="4" t="s">
        <v>24</v>
      </c>
      <c r="F16" s="2" t="s">
        <v>25</v>
      </c>
      <c r="G16" s="2" t="s">
        <v>25</v>
      </c>
      <c r="H16" s="4" t="s">
        <v>29</v>
      </c>
      <c r="I16" t="s">
        <v>28</v>
      </c>
      <c r="J16" s="6">
        <v>5.68</v>
      </c>
      <c r="K16" s="9">
        <v>3.5</v>
      </c>
      <c r="L16" s="9">
        <v>1.5</v>
      </c>
      <c r="M16" s="9">
        <v>4</v>
      </c>
      <c r="N16" s="6">
        <v>45.074420608768619</v>
      </c>
      <c r="O16" s="6">
        <v>8.9463103166285691</v>
      </c>
      <c r="P16" s="6">
        <v>5.1891090784421667</v>
      </c>
      <c r="Q16" s="9">
        <v>3.5</v>
      </c>
      <c r="R16" s="9">
        <v>1.5</v>
      </c>
      <c r="S16" s="9">
        <v>3</v>
      </c>
      <c r="T16" s="6">
        <v>48.273892797729417</v>
      </c>
      <c r="U16" s="6">
        <v>8.2590659646374913</v>
      </c>
      <c r="V16" s="6">
        <v>4.7324958047059829</v>
      </c>
    </row>
    <row r="17" spans="1:22" ht="15.75" thickBot="1" x14ac:dyDescent="0.3">
      <c r="A17">
        <v>2006</v>
      </c>
      <c r="B17" s="12" t="s">
        <v>45</v>
      </c>
      <c r="C17" t="str">
        <f t="shared" si="0"/>
        <v>2006B02C0098D00</v>
      </c>
      <c r="D17" s="4" t="s">
        <v>24</v>
      </c>
      <c r="F17" s="3" t="s">
        <v>27</v>
      </c>
      <c r="G17" s="3" t="s">
        <v>25</v>
      </c>
      <c r="H17" s="4" t="s">
        <v>29</v>
      </c>
      <c r="I17" t="s">
        <v>28</v>
      </c>
      <c r="J17" s="7">
        <v>5.76</v>
      </c>
      <c r="K17" s="10">
        <v>4</v>
      </c>
      <c r="L17" s="10">
        <v>1.5</v>
      </c>
      <c r="M17" s="10">
        <v>3</v>
      </c>
      <c r="N17" s="7">
        <v>43.623012958875563</v>
      </c>
      <c r="O17" s="7">
        <v>9.3439019066328122</v>
      </c>
      <c r="P17" s="7">
        <v>4.4602419112593665</v>
      </c>
      <c r="Q17" s="10">
        <v>4.5</v>
      </c>
      <c r="R17" s="10">
        <v>1.5</v>
      </c>
      <c r="S17" s="10">
        <v>3</v>
      </c>
      <c r="T17" s="7">
        <v>45.635566630978431</v>
      </c>
      <c r="U17" s="7">
        <v>9.0948064286525678</v>
      </c>
      <c r="V17" s="7">
        <v>4.7874178860705552</v>
      </c>
    </row>
    <row r="18" spans="1:22" x14ac:dyDescent="0.25">
      <c r="A18">
        <v>2006</v>
      </c>
      <c r="B18" s="11" t="s">
        <v>46</v>
      </c>
      <c r="C18" t="str">
        <f t="shared" si="0"/>
        <v>2006B02C0109D00</v>
      </c>
      <c r="D18" s="4" t="s">
        <v>24</v>
      </c>
      <c r="F18" s="2" t="s">
        <v>25</v>
      </c>
      <c r="G18" s="2" t="s">
        <v>25</v>
      </c>
      <c r="H18" s="4" t="s">
        <v>29</v>
      </c>
      <c r="I18" t="s">
        <v>28</v>
      </c>
      <c r="J18" s="5">
        <v>5.64</v>
      </c>
      <c r="K18" s="8">
        <v>3</v>
      </c>
      <c r="L18" s="8">
        <v>1.5</v>
      </c>
      <c r="M18" s="8">
        <v>3</v>
      </c>
      <c r="N18" s="5">
        <v>49.977713932556313</v>
      </c>
      <c r="O18" s="5">
        <v>8.0591641316335441</v>
      </c>
      <c r="P18" s="5">
        <v>5.8411575453089615</v>
      </c>
      <c r="Q18" s="8">
        <v>3.5</v>
      </c>
      <c r="R18" s="8">
        <v>1.5</v>
      </c>
      <c r="S18" s="8">
        <v>3</v>
      </c>
      <c r="T18" s="5">
        <v>48.688098187633486</v>
      </c>
      <c r="U18" s="5">
        <v>8.574764294493054</v>
      </c>
      <c r="V18" s="5">
        <v>5.7128100373054824</v>
      </c>
    </row>
    <row r="19" spans="1:22" x14ac:dyDescent="0.25">
      <c r="A19">
        <v>2006</v>
      </c>
      <c r="B19" s="11" t="s">
        <v>47</v>
      </c>
      <c r="C19" t="str">
        <f t="shared" si="0"/>
        <v>2006B02C0065D00</v>
      </c>
      <c r="D19" s="4" t="s">
        <v>24</v>
      </c>
      <c r="F19" s="2" t="s">
        <v>27</v>
      </c>
      <c r="G19" s="2" t="s">
        <v>25</v>
      </c>
      <c r="H19" s="4" t="s">
        <v>29</v>
      </c>
      <c r="I19" t="s">
        <v>28</v>
      </c>
      <c r="J19" s="5">
        <v>5.62</v>
      </c>
      <c r="K19" s="8">
        <v>3</v>
      </c>
      <c r="L19" s="8">
        <v>2</v>
      </c>
      <c r="M19" s="8">
        <v>3</v>
      </c>
      <c r="N19" s="5">
        <v>49.198814837879681</v>
      </c>
      <c r="O19" s="5">
        <v>7.8990773532234826</v>
      </c>
      <c r="P19" s="5">
        <v>4.1711391557353927</v>
      </c>
      <c r="Q19" s="8">
        <v>3</v>
      </c>
      <c r="R19" s="8">
        <v>2</v>
      </c>
      <c r="S19" s="8">
        <v>2</v>
      </c>
      <c r="T19" s="5">
        <v>52.862925528778391</v>
      </c>
      <c r="U19" s="5">
        <v>7.6537061157804231</v>
      </c>
      <c r="V19" s="5">
        <v>4.9375551014479324</v>
      </c>
    </row>
    <row r="20" spans="1:22" x14ac:dyDescent="0.25">
      <c r="A20">
        <v>2006</v>
      </c>
      <c r="B20" s="11" t="s">
        <v>48</v>
      </c>
      <c r="C20" t="str">
        <f t="shared" si="0"/>
        <v>2006B02C0005D00</v>
      </c>
      <c r="D20" s="4" t="s">
        <v>24</v>
      </c>
      <c r="F20" s="2" t="s">
        <v>27</v>
      </c>
      <c r="G20" s="2" t="s">
        <v>25</v>
      </c>
      <c r="H20" s="4" t="s">
        <v>29</v>
      </c>
      <c r="I20" t="s">
        <v>28</v>
      </c>
      <c r="J20" s="5">
        <v>5.51</v>
      </c>
      <c r="K20" s="8">
        <v>3</v>
      </c>
      <c r="L20" s="8">
        <v>1.5</v>
      </c>
      <c r="M20" s="8">
        <v>3</v>
      </c>
      <c r="N20" s="5">
        <v>49.98846941510287</v>
      </c>
      <c r="O20" s="5">
        <v>10.372078675615903</v>
      </c>
      <c r="P20" s="5">
        <v>5.6225742633042142</v>
      </c>
      <c r="Q20" s="8">
        <v>3</v>
      </c>
      <c r="R20" s="8">
        <v>1.5</v>
      </c>
      <c r="S20" s="8">
        <v>2</v>
      </c>
      <c r="T20" s="5">
        <v>50.777170919392262</v>
      </c>
      <c r="U20" s="5">
        <v>9.2747450162889997</v>
      </c>
      <c r="V20" s="5">
        <v>5.3691788125966422</v>
      </c>
    </row>
    <row r="21" spans="1:22" ht="15.75" thickBot="1" x14ac:dyDescent="0.3">
      <c r="A21">
        <v>2006</v>
      </c>
      <c r="B21" s="12" t="s">
        <v>49</v>
      </c>
      <c r="C21" t="str">
        <f t="shared" si="0"/>
        <v>2006B02C0142D00</v>
      </c>
      <c r="D21" s="4" t="s">
        <v>24</v>
      </c>
      <c r="F21" s="3" t="s">
        <v>27</v>
      </c>
      <c r="G21" s="3" t="s">
        <v>25</v>
      </c>
      <c r="H21" s="4" t="s">
        <v>29</v>
      </c>
      <c r="I21" t="s">
        <v>28</v>
      </c>
      <c r="J21" s="7">
        <v>5.5</v>
      </c>
      <c r="K21" s="10">
        <v>3.5</v>
      </c>
      <c r="L21" s="10">
        <v>2.5</v>
      </c>
      <c r="M21" s="10">
        <v>3</v>
      </c>
      <c r="N21" s="7">
        <v>48.040043378022773</v>
      </c>
      <c r="O21" s="7">
        <v>9.997619442802808</v>
      </c>
      <c r="P21" s="7">
        <v>5.8056538918738632</v>
      </c>
      <c r="Q21" s="10">
        <v>3</v>
      </c>
      <c r="R21" s="10">
        <v>2</v>
      </c>
      <c r="S21" s="10">
        <v>2</v>
      </c>
      <c r="T21" s="7">
        <v>55.146423019539483</v>
      </c>
      <c r="U21" s="7">
        <v>11.378857238491635</v>
      </c>
      <c r="V21" s="16">
        <v>8.7820155292313231</v>
      </c>
    </row>
    <row r="22" spans="1:22" x14ac:dyDescent="0.25">
      <c r="A22">
        <v>2006</v>
      </c>
      <c r="B22" s="11" t="s">
        <v>50</v>
      </c>
      <c r="C22" t="str">
        <f t="shared" si="0"/>
        <v>2006B02C0146D00</v>
      </c>
      <c r="D22" s="4" t="s">
        <v>24</v>
      </c>
      <c r="F22" s="2" t="s">
        <v>27</v>
      </c>
      <c r="G22" s="2" t="s">
        <v>25</v>
      </c>
      <c r="H22" s="4" t="s">
        <v>29</v>
      </c>
      <c r="I22" t="s">
        <v>28</v>
      </c>
      <c r="J22" s="5">
        <v>5.48</v>
      </c>
      <c r="K22" s="8">
        <v>3</v>
      </c>
      <c r="L22" s="8">
        <v>3</v>
      </c>
      <c r="M22" s="8">
        <v>3</v>
      </c>
      <c r="N22" s="5">
        <v>52.50336752940413</v>
      </c>
      <c r="O22" s="5">
        <v>7.4724528460958783</v>
      </c>
      <c r="P22" s="5">
        <v>2.9976555515562442</v>
      </c>
      <c r="Q22" s="8">
        <v>3</v>
      </c>
      <c r="R22" s="8">
        <v>3.5</v>
      </c>
      <c r="S22" s="8">
        <v>3</v>
      </c>
      <c r="T22" s="5">
        <v>50.399327181453643</v>
      </c>
      <c r="U22" s="5">
        <v>9.1448949697672255</v>
      </c>
      <c r="V22" s="5">
        <v>4.9540346435532179</v>
      </c>
    </row>
    <row r="23" spans="1:22" x14ac:dyDescent="0.25">
      <c r="A23">
        <v>2006</v>
      </c>
      <c r="B23" s="11" t="s">
        <v>51</v>
      </c>
      <c r="C23" t="str">
        <f t="shared" si="0"/>
        <v>2006B02C0139D00</v>
      </c>
      <c r="D23" s="4" t="s">
        <v>24</v>
      </c>
      <c r="F23" s="2" t="s">
        <v>25</v>
      </c>
      <c r="G23" s="2" t="s">
        <v>25</v>
      </c>
      <c r="H23" s="4" t="s">
        <v>29</v>
      </c>
      <c r="I23" t="s">
        <v>28</v>
      </c>
      <c r="J23" s="6">
        <v>5.42</v>
      </c>
      <c r="K23" s="9">
        <v>3</v>
      </c>
      <c r="L23" s="9">
        <v>2</v>
      </c>
      <c r="M23" s="9">
        <v>3</v>
      </c>
      <c r="N23" s="6">
        <v>50.011163927243715</v>
      </c>
      <c r="O23" s="6">
        <v>10.047099810167104</v>
      </c>
      <c r="P23" s="6">
        <v>4.3726451185722714</v>
      </c>
      <c r="Q23" s="9">
        <v>3.5</v>
      </c>
      <c r="R23" s="9">
        <v>3.5</v>
      </c>
      <c r="S23" s="9">
        <v>3</v>
      </c>
      <c r="T23" s="6">
        <v>53.554859618579769</v>
      </c>
      <c r="U23" s="6">
        <v>8.4957999199040675</v>
      </c>
      <c r="V23" s="6">
        <v>5.1553870293356674</v>
      </c>
    </row>
    <row r="24" spans="1:22" x14ac:dyDescent="0.25">
      <c r="A24">
        <v>2006</v>
      </c>
      <c r="B24" s="11" t="s">
        <v>52</v>
      </c>
      <c r="C24" t="str">
        <f t="shared" si="0"/>
        <v>2006B02C0022D00</v>
      </c>
      <c r="D24" s="4" t="s">
        <v>24</v>
      </c>
      <c r="F24" s="2" t="s">
        <v>27</v>
      </c>
      <c r="G24" s="2" t="s">
        <v>25</v>
      </c>
      <c r="H24" s="4" t="s">
        <v>29</v>
      </c>
      <c r="I24" t="s">
        <v>28</v>
      </c>
      <c r="J24" s="5">
        <v>5.54</v>
      </c>
      <c r="K24" s="8">
        <v>3.5</v>
      </c>
      <c r="L24" s="8">
        <v>3</v>
      </c>
      <c r="M24" s="8">
        <v>4</v>
      </c>
      <c r="N24" s="5">
        <v>47.746909000765797</v>
      </c>
      <c r="O24" s="5">
        <v>8.1737416558533287</v>
      </c>
      <c r="P24" s="5">
        <v>2.4044930789417274</v>
      </c>
      <c r="Q24" s="8">
        <v>3</v>
      </c>
      <c r="R24" s="8">
        <v>3</v>
      </c>
      <c r="S24" s="8">
        <v>3</v>
      </c>
      <c r="T24" s="5">
        <v>53.300117169575628</v>
      </c>
      <c r="U24" s="5">
        <v>7.4761925674378116</v>
      </c>
      <c r="V24" s="5">
        <v>4.317786311376981</v>
      </c>
    </row>
    <row r="25" spans="1:22" ht="15.75" thickBot="1" x14ac:dyDescent="0.3">
      <c r="A25">
        <v>2006</v>
      </c>
      <c r="B25" s="12" t="s">
        <v>53</v>
      </c>
      <c r="C25" t="str">
        <f t="shared" si="0"/>
        <v>2006B02C0106D00</v>
      </c>
      <c r="D25" s="4" t="s">
        <v>24</v>
      </c>
      <c r="F25" s="3" t="s">
        <v>25</v>
      </c>
      <c r="G25" s="3" t="s">
        <v>25</v>
      </c>
      <c r="H25" s="4" t="s">
        <v>29</v>
      </c>
      <c r="I25" t="s">
        <v>28</v>
      </c>
      <c r="J25" s="7">
        <v>5.57</v>
      </c>
      <c r="K25" s="10">
        <v>3.5</v>
      </c>
      <c r="L25" s="10">
        <v>1</v>
      </c>
      <c r="M25" s="10">
        <v>3</v>
      </c>
      <c r="N25" s="7">
        <v>47.029543237966301</v>
      </c>
      <c r="O25" s="7">
        <v>8.9470537329184872</v>
      </c>
      <c r="P25" s="7">
        <v>5.0347819488441692</v>
      </c>
      <c r="Q25" s="10">
        <v>3</v>
      </c>
      <c r="R25" s="10">
        <v>1</v>
      </c>
      <c r="S25" s="10">
        <v>3</v>
      </c>
      <c r="T25" s="7">
        <v>48.036237134722398</v>
      </c>
      <c r="U25" s="7">
        <v>8.2727429599183111</v>
      </c>
      <c r="V25" s="7">
        <v>4.6720902197264991</v>
      </c>
    </row>
    <row r="26" spans="1:22" x14ac:dyDescent="0.25">
      <c r="A26">
        <v>2006</v>
      </c>
      <c r="B26" s="11" t="s">
        <v>54</v>
      </c>
      <c r="C26" t="str">
        <f t="shared" si="0"/>
        <v>2006B02C0003D00</v>
      </c>
      <c r="D26" s="4" t="s">
        <v>24</v>
      </c>
      <c r="F26" s="2" t="s">
        <v>25</v>
      </c>
      <c r="G26" s="2" t="s">
        <v>25</v>
      </c>
      <c r="H26" s="4" t="s">
        <v>29</v>
      </c>
      <c r="I26" t="s">
        <v>28</v>
      </c>
      <c r="J26" s="6">
        <v>5.56</v>
      </c>
      <c r="K26" s="9">
        <v>3.5</v>
      </c>
      <c r="L26" s="9">
        <v>2</v>
      </c>
      <c r="M26" s="9">
        <v>4</v>
      </c>
      <c r="N26" s="6">
        <v>44.001147889150154</v>
      </c>
      <c r="O26" s="6">
        <v>9.2378799875539883</v>
      </c>
      <c r="P26" s="6">
        <v>4.0350258569142312</v>
      </c>
      <c r="Q26" s="9">
        <v>3</v>
      </c>
      <c r="R26" s="9">
        <v>1.5</v>
      </c>
      <c r="S26" s="9">
        <v>3</v>
      </c>
      <c r="T26" s="6">
        <v>51.377330393772112</v>
      </c>
      <c r="U26" s="6">
        <v>9.2530255270412702</v>
      </c>
      <c r="V26" s="6">
        <v>4.4233734031502658</v>
      </c>
    </row>
    <row r="27" spans="1:22" x14ac:dyDescent="0.25">
      <c r="A27">
        <v>2006</v>
      </c>
      <c r="B27" s="11" t="s">
        <v>55</v>
      </c>
      <c r="C27" t="str">
        <f t="shared" si="0"/>
        <v>2006B02C0026D00</v>
      </c>
      <c r="D27" s="4" t="s">
        <v>24</v>
      </c>
      <c r="F27" s="2" t="s">
        <v>27</v>
      </c>
      <c r="G27" s="2" t="s">
        <v>25</v>
      </c>
      <c r="H27" s="4" t="s">
        <v>29</v>
      </c>
      <c r="I27" t="s">
        <v>28</v>
      </c>
      <c r="J27" s="6">
        <v>5.66</v>
      </c>
      <c r="K27" s="9">
        <v>4</v>
      </c>
      <c r="L27" s="9">
        <v>1</v>
      </c>
      <c r="M27" s="9">
        <v>4</v>
      </c>
      <c r="N27" s="6">
        <v>43.779209500290406</v>
      </c>
      <c r="O27" s="6">
        <v>7.5972045171464053</v>
      </c>
      <c r="P27" s="6">
        <v>2.0574791313655361</v>
      </c>
      <c r="Q27" s="9">
        <v>4</v>
      </c>
      <c r="R27" s="9">
        <v>1</v>
      </c>
      <c r="S27" s="9">
        <v>3</v>
      </c>
      <c r="T27" s="6">
        <v>48.589721618394691</v>
      </c>
      <c r="U27" s="6">
        <v>9.9562180648920524</v>
      </c>
      <c r="V27" s="6">
        <v>4.7465100137048744</v>
      </c>
    </row>
    <row r="28" spans="1:22" x14ac:dyDescent="0.25">
      <c r="A28">
        <v>2006</v>
      </c>
      <c r="B28" s="11" t="s">
        <v>56</v>
      </c>
      <c r="C28" t="str">
        <f t="shared" si="0"/>
        <v>2006B02C0083D00</v>
      </c>
      <c r="D28" s="4" t="s">
        <v>24</v>
      </c>
      <c r="F28" s="2" t="s">
        <v>25</v>
      </c>
      <c r="G28" s="2" t="s">
        <v>25</v>
      </c>
      <c r="H28" s="4" t="s">
        <v>29</v>
      </c>
      <c r="I28" t="s">
        <v>28</v>
      </c>
      <c r="J28" s="6">
        <v>5.49</v>
      </c>
      <c r="K28" s="9">
        <v>3</v>
      </c>
      <c r="L28" s="9">
        <v>2</v>
      </c>
      <c r="M28" s="9">
        <v>2</v>
      </c>
      <c r="N28" s="6">
        <v>46.493264217880565</v>
      </c>
      <c r="O28" s="6">
        <v>9.4602051419527822</v>
      </c>
      <c r="P28" s="6">
        <v>3.2732512777414291</v>
      </c>
      <c r="Q28" s="9">
        <v>3</v>
      </c>
      <c r="R28" s="9">
        <v>2</v>
      </c>
      <c r="S28" s="9">
        <v>3</v>
      </c>
      <c r="T28" s="6">
        <v>54.108607589192999</v>
      </c>
      <c r="U28" s="6">
        <v>9.159560981590376</v>
      </c>
      <c r="V28" s="6">
        <v>5.0690284593322144</v>
      </c>
    </row>
    <row r="29" spans="1:22" ht="15.75" thickBot="1" x14ac:dyDescent="0.3">
      <c r="A29">
        <v>2006</v>
      </c>
      <c r="B29" s="12" t="s">
        <v>57</v>
      </c>
      <c r="C29" t="str">
        <f t="shared" si="0"/>
        <v>2006B02C0030D00</v>
      </c>
      <c r="D29" s="4" t="s">
        <v>24</v>
      </c>
      <c r="F29" s="3" t="s">
        <v>25</v>
      </c>
      <c r="G29" s="3" t="s">
        <v>25</v>
      </c>
      <c r="H29" s="4" t="s">
        <v>29</v>
      </c>
      <c r="I29" t="s">
        <v>28</v>
      </c>
      <c r="J29" s="7">
        <v>5.52</v>
      </c>
      <c r="K29" s="10">
        <v>3.5</v>
      </c>
      <c r="L29" s="10">
        <v>1.5</v>
      </c>
      <c r="M29" s="10">
        <v>3</v>
      </c>
      <c r="N29" s="7">
        <v>46.920651984147433</v>
      </c>
      <c r="O29" s="7">
        <v>9.9442511854701543</v>
      </c>
      <c r="P29" s="7">
        <v>6.3039744854977098</v>
      </c>
      <c r="Q29" s="10">
        <v>3.5</v>
      </c>
      <c r="R29" s="10">
        <v>1</v>
      </c>
      <c r="S29" s="10">
        <v>3</v>
      </c>
      <c r="T29" s="7">
        <v>49.886749695245214</v>
      </c>
      <c r="U29" s="7">
        <v>7.9223407269775059</v>
      </c>
      <c r="V29" s="7">
        <v>4.7771283362488814</v>
      </c>
    </row>
    <row r="30" spans="1:22" x14ac:dyDescent="0.25">
      <c r="A30">
        <v>2006</v>
      </c>
      <c r="B30" s="11" t="s">
        <v>58</v>
      </c>
      <c r="C30" t="str">
        <f t="shared" si="0"/>
        <v>2006B02C0023D00</v>
      </c>
      <c r="D30" s="4" t="s">
        <v>24</v>
      </c>
      <c r="F30" s="2" t="s">
        <v>27</v>
      </c>
      <c r="G30" s="2" t="s">
        <v>25</v>
      </c>
      <c r="H30" s="4" t="s">
        <v>29</v>
      </c>
      <c r="I30" t="s">
        <v>28</v>
      </c>
      <c r="J30" s="6">
        <v>5.55</v>
      </c>
      <c r="K30" s="9">
        <v>3.5</v>
      </c>
      <c r="L30" s="9">
        <v>2</v>
      </c>
      <c r="M30" s="9">
        <v>3</v>
      </c>
      <c r="N30" s="6">
        <v>47.277405983989802</v>
      </c>
      <c r="O30" s="6">
        <v>8.2067287293976499</v>
      </c>
      <c r="P30" s="6">
        <v>4.6364403057701731</v>
      </c>
      <c r="Q30" s="9">
        <v>3</v>
      </c>
      <c r="R30" s="9">
        <v>2.5</v>
      </c>
      <c r="S30" s="9">
        <v>3</v>
      </c>
      <c r="T30" s="6">
        <v>49.323422207040124</v>
      </c>
      <c r="U30" s="6">
        <v>8.7573334566115051</v>
      </c>
      <c r="V30" s="6">
        <v>5.7214268517932654</v>
      </c>
    </row>
    <row r="31" spans="1:22" x14ac:dyDescent="0.25">
      <c r="A31">
        <v>2006</v>
      </c>
      <c r="B31" s="11" t="s">
        <v>59</v>
      </c>
      <c r="C31" t="str">
        <f t="shared" si="0"/>
        <v>2006B02C0081D00</v>
      </c>
      <c r="D31" s="4" t="s">
        <v>24</v>
      </c>
      <c r="F31" s="2" t="s">
        <v>25</v>
      </c>
      <c r="G31" s="2" t="s">
        <v>25</v>
      </c>
      <c r="H31" s="4" t="s">
        <v>29</v>
      </c>
      <c r="I31" t="s">
        <v>28</v>
      </c>
      <c r="J31" s="5">
        <v>5.53</v>
      </c>
      <c r="K31" s="8">
        <v>3</v>
      </c>
      <c r="L31" s="8">
        <v>3.5</v>
      </c>
      <c r="M31" s="8">
        <v>3</v>
      </c>
      <c r="N31" s="5">
        <v>51.069919422612742</v>
      </c>
      <c r="O31" s="5">
        <v>9.3625282555204201</v>
      </c>
      <c r="P31" s="5">
        <v>7.5877427057810198</v>
      </c>
      <c r="Q31" s="8">
        <v>3</v>
      </c>
      <c r="R31" s="8">
        <v>3</v>
      </c>
      <c r="S31" s="8">
        <v>2</v>
      </c>
      <c r="T31" s="5">
        <v>57.043253550923936</v>
      </c>
      <c r="U31" s="5">
        <v>8.9700312366997039</v>
      </c>
      <c r="V31" s="17">
        <v>8.0057776110171517</v>
      </c>
    </row>
    <row r="32" spans="1:22" x14ac:dyDescent="0.25">
      <c r="A32">
        <v>2006</v>
      </c>
      <c r="B32" s="11" t="s">
        <v>60</v>
      </c>
      <c r="C32" t="str">
        <f t="shared" si="0"/>
        <v>2006B02C0032D00</v>
      </c>
      <c r="D32" s="4" t="s">
        <v>24</v>
      </c>
      <c r="F32" s="2" t="s">
        <v>25</v>
      </c>
      <c r="G32" s="2" t="s">
        <v>25</v>
      </c>
      <c r="H32" s="4" t="s">
        <v>29</v>
      </c>
      <c r="I32" t="s">
        <v>28</v>
      </c>
      <c r="J32" s="6">
        <v>5.86</v>
      </c>
      <c r="K32" s="9">
        <v>4.5</v>
      </c>
      <c r="L32" s="9">
        <v>2</v>
      </c>
      <c r="M32" s="9">
        <v>3</v>
      </c>
      <c r="N32" s="6">
        <v>43.513039614636554</v>
      </c>
      <c r="O32" s="6">
        <v>8.6510059044996304</v>
      </c>
      <c r="P32" s="6">
        <v>2.467757619047517</v>
      </c>
      <c r="Q32" s="9">
        <v>4</v>
      </c>
      <c r="R32" s="9">
        <v>3</v>
      </c>
      <c r="S32" s="9">
        <v>3</v>
      </c>
      <c r="T32" s="6">
        <v>46.748016646465118</v>
      </c>
      <c r="U32" s="6">
        <v>7.7121707243641424</v>
      </c>
      <c r="V32" s="14">
        <v>2.4729312684719451</v>
      </c>
    </row>
    <row r="33" spans="1:22" ht="15.75" thickBot="1" x14ac:dyDescent="0.3">
      <c r="A33">
        <v>2006</v>
      </c>
      <c r="B33" s="12" t="s">
        <v>61</v>
      </c>
      <c r="C33" t="str">
        <f t="shared" si="0"/>
        <v>2006B02C0080D00</v>
      </c>
      <c r="D33" s="4" t="s">
        <v>24</v>
      </c>
      <c r="F33" s="3" t="s">
        <v>25</v>
      </c>
      <c r="G33" s="3" t="s">
        <v>25</v>
      </c>
      <c r="H33" s="4" t="s">
        <v>29</v>
      </c>
      <c r="I33" t="s">
        <v>28</v>
      </c>
      <c r="J33" s="7">
        <v>5.64</v>
      </c>
      <c r="K33" s="10">
        <v>3.5</v>
      </c>
      <c r="L33" s="10">
        <v>1.5</v>
      </c>
      <c r="M33" s="10">
        <v>3</v>
      </c>
      <c r="N33" s="7">
        <v>45.76403992249093</v>
      </c>
      <c r="O33" s="7">
        <v>7.6205093632915606</v>
      </c>
      <c r="P33" s="7">
        <v>4.0454331628863915</v>
      </c>
      <c r="Q33" s="10">
        <v>3.5</v>
      </c>
      <c r="R33" s="10">
        <v>1</v>
      </c>
      <c r="S33" s="10">
        <v>3</v>
      </c>
      <c r="T33" s="7">
        <v>46.63151233877926</v>
      </c>
      <c r="U33" s="7">
        <v>8.6668139666034598</v>
      </c>
      <c r="V33" s="7">
        <v>2.5952048934200223</v>
      </c>
    </row>
    <row r="34" spans="1:22" x14ac:dyDescent="0.25">
      <c r="A34">
        <v>2006</v>
      </c>
      <c r="B34" s="11" t="s">
        <v>62</v>
      </c>
      <c r="C34" t="str">
        <f t="shared" si="0"/>
        <v>2006B02C0103D00</v>
      </c>
      <c r="D34" s="4" t="s">
        <v>24</v>
      </c>
      <c r="F34" s="2" t="s">
        <v>25</v>
      </c>
      <c r="G34" s="2" t="s">
        <v>25</v>
      </c>
      <c r="H34" s="4" t="s">
        <v>29</v>
      </c>
      <c r="I34" t="s">
        <v>28</v>
      </c>
      <c r="J34" s="6">
        <v>6.02</v>
      </c>
      <c r="K34" s="9">
        <v>5</v>
      </c>
      <c r="L34" s="9">
        <v>1</v>
      </c>
      <c r="M34" s="9">
        <v>3</v>
      </c>
      <c r="N34" s="6">
        <v>39.781850616898602</v>
      </c>
      <c r="O34" s="6">
        <v>7.0466668173706779</v>
      </c>
      <c r="P34" s="6">
        <v>1.5220357694214481</v>
      </c>
      <c r="Q34" s="9">
        <v>5</v>
      </c>
      <c r="R34" s="9">
        <v>1</v>
      </c>
      <c r="S34" s="9">
        <v>3</v>
      </c>
      <c r="T34" s="6">
        <v>38.017744292079222</v>
      </c>
      <c r="U34" s="6">
        <v>9.3935870457717279</v>
      </c>
      <c r="V34" s="6">
        <v>2.4944612987187864</v>
      </c>
    </row>
    <row r="35" spans="1:22" x14ac:dyDescent="0.25">
      <c r="A35">
        <v>2006</v>
      </c>
      <c r="B35" s="11" t="s">
        <v>63</v>
      </c>
      <c r="C35" t="str">
        <f t="shared" si="0"/>
        <v>2006B02C0015D00</v>
      </c>
      <c r="D35" s="4" t="s">
        <v>24</v>
      </c>
      <c r="F35" s="2" t="s">
        <v>27</v>
      </c>
      <c r="G35" s="2" t="s">
        <v>25</v>
      </c>
      <c r="H35" s="4" t="s">
        <v>29</v>
      </c>
      <c r="I35" t="s">
        <v>28</v>
      </c>
      <c r="J35" s="6">
        <v>5.47</v>
      </c>
      <c r="K35" s="9">
        <v>3</v>
      </c>
      <c r="L35" s="9">
        <v>2</v>
      </c>
      <c r="M35" s="9">
        <v>3</v>
      </c>
      <c r="N35" s="6">
        <v>52.646097121412495</v>
      </c>
      <c r="O35" s="6">
        <v>8.0103126275160026</v>
      </c>
      <c r="P35" s="6">
        <v>5.496238736267367</v>
      </c>
      <c r="Q35" s="9">
        <v>3</v>
      </c>
      <c r="R35" s="9">
        <v>2</v>
      </c>
      <c r="S35" s="9">
        <v>3</v>
      </c>
      <c r="T35" s="6">
        <v>50.131542049918082</v>
      </c>
      <c r="U35" s="6">
        <v>7.3807337734955736</v>
      </c>
      <c r="V35" s="6">
        <v>3.750166163367763</v>
      </c>
    </row>
    <row r="36" spans="1:22" x14ac:dyDescent="0.25">
      <c r="A36">
        <v>2006</v>
      </c>
      <c r="B36" s="11" t="s">
        <v>64</v>
      </c>
      <c r="C36" t="str">
        <f t="shared" si="0"/>
        <v>2006B02C0016D00</v>
      </c>
      <c r="D36" s="4" t="s">
        <v>24</v>
      </c>
      <c r="F36" s="2" t="s">
        <v>27</v>
      </c>
      <c r="G36" s="2" t="s">
        <v>25</v>
      </c>
      <c r="H36" s="4" t="s">
        <v>29</v>
      </c>
      <c r="I36" t="s">
        <v>28</v>
      </c>
      <c r="J36" s="6">
        <v>5.6</v>
      </c>
      <c r="K36" s="9">
        <v>4</v>
      </c>
      <c r="L36" s="9">
        <v>1.5</v>
      </c>
      <c r="M36" s="9">
        <v>3</v>
      </c>
      <c r="N36" s="6">
        <v>46.814019994497237</v>
      </c>
      <c r="O36" s="6">
        <v>7.1952113235274613</v>
      </c>
      <c r="P36" s="6">
        <v>4.7384927251573616</v>
      </c>
      <c r="Q36" s="9">
        <v>3.5</v>
      </c>
      <c r="R36" s="9">
        <v>1</v>
      </c>
      <c r="S36" s="9">
        <v>4</v>
      </c>
      <c r="T36" s="6">
        <v>50.577048860157191</v>
      </c>
      <c r="U36" s="6">
        <v>6.9192813771077333</v>
      </c>
      <c r="V36" s="6">
        <v>5.6702946891690198</v>
      </c>
    </row>
    <row r="37" spans="1:22" ht="15.75" thickBot="1" x14ac:dyDescent="0.3">
      <c r="A37">
        <v>2006</v>
      </c>
      <c r="B37" s="12" t="s">
        <v>65</v>
      </c>
      <c r="C37" t="str">
        <f t="shared" si="0"/>
        <v>2006B02C0137D00</v>
      </c>
      <c r="D37" s="4" t="s">
        <v>24</v>
      </c>
      <c r="F37" s="3" t="s">
        <v>25</v>
      </c>
      <c r="G37" s="3" t="s">
        <v>25</v>
      </c>
      <c r="H37" s="4" t="s">
        <v>29</v>
      </c>
      <c r="I37" t="s">
        <v>28</v>
      </c>
      <c r="J37" s="7">
        <v>5.62</v>
      </c>
      <c r="K37" s="10">
        <v>3</v>
      </c>
      <c r="L37" s="10">
        <v>1</v>
      </c>
      <c r="M37" s="10">
        <v>3</v>
      </c>
      <c r="N37" s="7">
        <v>50.465348110976876</v>
      </c>
      <c r="O37" s="7">
        <v>8.2257459971959985</v>
      </c>
      <c r="P37" s="7">
        <v>5.9051626180143701</v>
      </c>
      <c r="Q37" s="10">
        <v>3.5</v>
      </c>
      <c r="R37" s="10">
        <v>1</v>
      </c>
      <c r="S37" s="10">
        <v>3</v>
      </c>
      <c r="T37" s="7">
        <v>47.379895452126348</v>
      </c>
      <c r="U37" s="7">
        <v>7.7371927293959359</v>
      </c>
      <c r="V37" s="7">
        <v>4.7077689136875822</v>
      </c>
    </row>
    <row r="38" spans="1:22" x14ac:dyDescent="0.25">
      <c r="A38">
        <v>2006</v>
      </c>
      <c r="B38" s="11" t="s">
        <v>66</v>
      </c>
      <c r="C38" t="str">
        <f t="shared" si="0"/>
        <v>2006B02C0135D00</v>
      </c>
      <c r="D38" s="4" t="s">
        <v>24</v>
      </c>
      <c r="F38" s="2" t="s">
        <v>25</v>
      </c>
      <c r="G38" s="2" t="s">
        <v>26</v>
      </c>
      <c r="H38" s="4" t="s">
        <v>29</v>
      </c>
      <c r="I38" t="s">
        <v>28</v>
      </c>
      <c r="J38" s="6">
        <v>5.44</v>
      </c>
      <c r="K38" s="9">
        <v>3</v>
      </c>
      <c r="L38" s="9">
        <v>1.5</v>
      </c>
      <c r="M38" s="9">
        <v>3</v>
      </c>
      <c r="N38" s="6">
        <v>50.155327381891425</v>
      </c>
      <c r="O38" s="6">
        <v>8.0349450868809065</v>
      </c>
      <c r="P38" s="6">
        <v>5.0584982029329595</v>
      </c>
      <c r="Q38" s="9">
        <v>3</v>
      </c>
      <c r="R38" s="9">
        <v>2.5</v>
      </c>
      <c r="S38" s="9">
        <v>3</v>
      </c>
      <c r="T38" s="6">
        <v>50.621624387194004</v>
      </c>
      <c r="U38" s="6">
        <v>7.1579350949687592</v>
      </c>
      <c r="V38" s="6">
        <v>4.2958375659022163</v>
      </c>
    </row>
    <row r="39" spans="1:22" x14ac:dyDescent="0.25">
      <c r="A39">
        <v>2006</v>
      </c>
      <c r="B39" s="11" t="s">
        <v>67</v>
      </c>
      <c r="C39" t="str">
        <f t="shared" si="0"/>
        <v>2006B02C0071D00</v>
      </c>
      <c r="D39" s="4" t="s">
        <v>24</v>
      </c>
      <c r="F39" s="2" t="s">
        <v>27</v>
      </c>
      <c r="G39" s="2" t="s">
        <v>26</v>
      </c>
      <c r="H39" s="4" t="s">
        <v>29</v>
      </c>
      <c r="I39" t="s">
        <v>28</v>
      </c>
      <c r="J39" s="5">
        <v>5.53</v>
      </c>
      <c r="K39" s="8">
        <v>3.5</v>
      </c>
      <c r="L39" s="8">
        <v>2</v>
      </c>
      <c r="M39" s="8">
        <v>3</v>
      </c>
      <c r="N39" s="5">
        <v>47.57101383405611</v>
      </c>
      <c r="O39" s="5">
        <v>8.5480849014554767</v>
      </c>
      <c r="P39" s="5">
        <v>5.7930701924135519</v>
      </c>
      <c r="Q39" s="8">
        <v>4</v>
      </c>
      <c r="R39" s="8">
        <v>1.5</v>
      </c>
      <c r="S39" s="8">
        <v>3</v>
      </c>
      <c r="T39" s="5">
        <v>46.952177336442389</v>
      </c>
      <c r="U39" s="5">
        <v>7.414450613674239</v>
      </c>
      <c r="V39" s="5">
        <v>5.0429605507642528</v>
      </c>
    </row>
    <row r="40" spans="1:22" x14ac:dyDescent="0.25">
      <c r="A40">
        <v>2006</v>
      </c>
      <c r="B40" s="11" t="s">
        <v>68</v>
      </c>
      <c r="C40" t="str">
        <f t="shared" si="0"/>
        <v>2006B02C0012D00</v>
      </c>
      <c r="D40" s="4" t="s">
        <v>24</v>
      </c>
      <c r="F40" s="2" t="s">
        <v>25</v>
      </c>
      <c r="G40" s="2" t="s">
        <v>26</v>
      </c>
      <c r="H40" s="4" t="s">
        <v>29</v>
      </c>
      <c r="I40" t="s">
        <v>28</v>
      </c>
      <c r="J40" s="6">
        <v>5.55</v>
      </c>
      <c r="K40" s="9">
        <v>3</v>
      </c>
      <c r="L40" s="9">
        <v>2</v>
      </c>
      <c r="M40" s="9">
        <v>3</v>
      </c>
      <c r="N40" s="6">
        <v>49.031927131819714</v>
      </c>
      <c r="O40" s="6">
        <v>9.9721639556659127</v>
      </c>
      <c r="P40" s="6">
        <v>3.9880225298819072</v>
      </c>
      <c r="Q40" s="9">
        <v>3</v>
      </c>
      <c r="R40" s="9">
        <v>2</v>
      </c>
      <c r="S40" s="9">
        <v>3</v>
      </c>
      <c r="T40" s="6">
        <v>56.340217715544654</v>
      </c>
      <c r="U40" s="6">
        <v>8.8423781001945585</v>
      </c>
      <c r="V40" s="6">
        <v>6.3672728523947786</v>
      </c>
    </row>
    <row r="41" spans="1:22" ht="15.75" thickBot="1" x14ac:dyDescent="0.3">
      <c r="A41">
        <v>2006</v>
      </c>
      <c r="B41" s="12" t="s">
        <v>69</v>
      </c>
      <c r="C41" t="str">
        <f t="shared" si="0"/>
        <v>2006B02C0121D00</v>
      </c>
      <c r="D41" s="4" t="s">
        <v>24</v>
      </c>
      <c r="F41" s="3" t="s">
        <v>27</v>
      </c>
      <c r="G41" s="3" t="s">
        <v>26</v>
      </c>
      <c r="H41" s="4" t="s">
        <v>29</v>
      </c>
      <c r="I41" t="s">
        <v>28</v>
      </c>
      <c r="J41" s="7">
        <v>5.64</v>
      </c>
      <c r="K41" s="10">
        <v>3</v>
      </c>
      <c r="L41" s="10">
        <v>1.5</v>
      </c>
      <c r="M41" s="10">
        <v>2</v>
      </c>
      <c r="N41" s="7">
        <v>47.874689388006303</v>
      </c>
      <c r="O41" s="7">
        <v>7.3873090397535428</v>
      </c>
      <c r="P41" s="7">
        <v>4.5515209629298559</v>
      </c>
      <c r="Q41" s="10">
        <v>3</v>
      </c>
      <c r="R41" s="10">
        <v>2</v>
      </c>
      <c r="S41" s="10">
        <v>3</v>
      </c>
      <c r="T41" s="7">
        <v>51.823641369839876</v>
      </c>
      <c r="U41" s="7">
        <v>8.9943687644511989</v>
      </c>
      <c r="V41" s="7">
        <v>6.0925163507508096</v>
      </c>
    </row>
    <row r="42" spans="1:22" x14ac:dyDescent="0.25">
      <c r="A42">
        <v>2006</v>
      </c>
      <c r="B42" s="11" t="s">
        <v>70</v>
      </c>
      <c r="C42" t="str">
        <f t="shared" si="0"/>
        <v>2006B02C0134D00</v>
      </c>
      <c r="D42" s="4" t="s">
        <v>24</v>
      </c>
      <c r="F42" s="2" t="s">
        <v>25</v>
      </c>
      <c r="G42" s="2" t="s">
        <v>26</v>
      </c>
      <c r="H42" s="4" t="s">
        <v>29</v>
      </c>
      <c r="I42" t="s">
        <v>28</v>
      </c>
      <c r="J42" s="5">
        <v>5.6</v>
      </c>
      <c r="K42" s="8">
        <v>3</v>
      </c>
      <c r="L42" s="8">
        <v>1.5</v>
      </c>
      <c r="M42" s="8">
        <v>3</v>
      </c>
      <c r="N42" s="5">
        <v>49.64857665159083</v>
      </c>
      <c r="O42" s="5">
        <v>8.8254316752628963</v>
      </c>
      <c r="P42" s="5">
        <v>4.977955559156455</v>
      </c>
      <c r="Q42" s="8">
        <v>3</v>
      </c>
      <c r="R42" s="8">
        <v>1</v>
      </c>
      <c r="S42" s="8">
        <v>3</v>
      </c>
      <c r="T42" s="5">
        <v>57.239714521605862</v>
      </c>
      <c r="U42" s="5">
        <v>9.119374126079272</v>
      </c>
      <c r="V42" s="5">
        <v>7.0727538993740291</v>
      </c>
    </row>
    <row r="43" spans="1:22" x14ac:dyDescent="0.25">
      <c r="A43">
        <v>2006</v>
      </c>
      <c r="B43" s="11" t="s">
        <v>71</v>
      </c>
      <c r="C43" t="str">
        <f t="shared" si="0"/>
        <v>2006B02C0054D00</v>
      </c>
      <c r="D43" s="4" t="s">
        <v>24</v>
      </c>
      <c r="F43" s="2" t="s">
        <v>25</v>
      </c>
      <c r="G43" s="2" t="s">
        <v>26</v>
      </c>
      <c r="H43" s="4" t="s">
        <v>29</v>
      </c>
      <c r="I43" t="s">
        <v>28</v>
      </c>
      <c r="J43" s="5">
        <v>5.62</v>
      </c>
      <c r="K43" s="8">
        <v>3.5</v>
      </c>
      <c r="L43" s="8">
        <v>2</v>
      </c>
      <c r="M43" s="8">
        <v>3</v>
      </c>
      <c r="N43" s="5">
        <v>49.474268292858582</v>
      </c>
      <c r="O43" s="5">
        <v>9.7619971275856869</v>
      </c>
      <c r="P43" s="5">
        <v>6.2737451539424338</v>
      </c>
      <c r="Q43" s="8">
        <v>4</v>
      </c>
      <c r="R43" s="8">
        <v>2.5</v>
      </c>
      <c r="S43" s="8">
        <v>3</v>
      </c>
      <c r="T43" s="5">
        <v>47.798082587003712</v>
      </c>
      <c r="U43" s="5">
        <v>9.4618997901745328</v>
      </c>
      <c r="V43" s="5">
        <v>5.1584632337483782</v>
      </c>
    </row>
    <row r="44" spans="1:22" x14ac:dyDescent="0.25">
      <c r="A44">
        <v>2006</v>
      </c>
      <c r="B44" s="11" t="s">
        <v>72</v>
      </c>
      <c r="C44" t="str">
        <f t="shared" si="0"/>
        <v>2006B02C0063D00</v>
      </c>
      <c r="D44" s="4" t="s">
        <v>24</v>
      </c>
      <c r="F44" s="2" t="s">
        <v>27</v>
      </c>
      <c r="G44" s="2" t="s">
        <v>26</v>
      </c>
      <c r="H44" s="4" t="s">
        <v>29</v>
      </c>
      <c r="I44" t="s">
        <v>28</v>
      </c>
      <c r="J44" s="6">
        <v>5.6</v>
      </c>
      <c r="K44" s="9">
        <v>3.5</v>
      </c>
      <c r="L44" s="9">
        <v>1.5</v>
      </c>
      <c r="M44" s="9">
        <v>3</v>
      </c>
      <c r="N44" s="6">
        <v>44.343156789466768</v>
      </c>
      <c r="O44" s="6">
        <v>7.9102574180926482</v>
      </c>
      <c r="P44" s="6">
        <v>4.1511776826530955</v>
      </c>
      <c r="Q44" s="9">
        <v>3</v>
      </c>
      <c r="R44" s="9">
        <v>2</v>
      </c>
      <c r="S44" s="9">
        <v>3</v>
      </c>
      <c r="T44" s="6">
        <v>53.190521561438601</v>
      </c>
      <c r="U44" s="6">
        <v>9.4145382541276916</v>
      </c>
      <c r="V44" s="6">
        <v>5.2946988709961618</v>
      </c>
    </row>
    <row r="45" spans="1:22" ht="15.75" thickBot="1" x14ac:dyDescent="0.3">
      <c r="A45">
        <v>2006</v>
      </c>
      <c r="B45" s="12" t="s">
        <v>73</v>
      </c>
      <c r="C45" t="str">
        <f t="shared" si="0"/>
        <v>2006B02C0051D00</v>
      </c>
      <c r="D45" s="4" t="s">
        <v>24</v>
      </c>
      <c r="F45" s="3" t="s">
        <v>25</v>
      </c>
      <c r="G45" s="3" t="s">
        <v>26</v>
      </c>
      <c r="H45" s="4" t="s">
        <v>29</v>
      </c>
      <c r="I45" t="s">
        <v>28</v>
      </c>
      <c r="J45" s="7">
        <v>5.57</v>
      </c>
      <c r="K45" s="10">
        <v>3</v>
      </c>
      <c r="L45" s="10">
        <v>2</v>
      </c>
      <c r="M45" s="10">
        <v>3</v>
      </c>
      <c r="N45" s="7">
        <v>50.812156607628182</v>
      </c>
      <c r="O45" s="7">
        <v>7.380533531533839</v>
      </c>
      <c r="P45" s="7">
        <v>4.9175973615166901</v>
      </c>
      <c r="Q45" s="10">
        <v>3.5</v>
      </c>
      <c r="R45" s="10">
        <v>1.5</v>
      </c>
      <c r="S45" s="10">
        <v>3</v>
      </c>
      <c r="T45" s="7">
        <v>47.9065547223423</v>
      </c>
      <c r="U45" s="7">
        <v>8.162988277970296</v>
      </c>
      <c r="V45" s="7">
        <v>4.430977704678396</v>
      </c>
    </row>
    <row r="46" spans="1:22" x14ac:dyDescent="0.25">
      <c r="A46">
        <v>2006</v>
      </c>
      <c r="B46" s="11" t="s">
        <v>74</v>
      </c>
      <c r="C46" t="str">
        <f t="shared" si="0"/>
        <v>2006B02C0075D00</v>
      </c>
      <c r="D46" s="4" t="s">
        <v>24</v>
      </c>
      <c r="F46" s="2" t="s">
        <v>25</v>
      </c>
      <c r="G46" s="2" t="s">
        <v>26</v>
      </c>
      <c r="H46" s="4" t="s">
        <v>29</v>
      </c>
      <c r="I46" t="s">
        <v>28</v>
      </c>
      <c r="J46" s="5">
        <v>6.06</v>
      </c>
      <c r="K46" s="8">
        <v>4</v>
      </c>
      <c r="L46" s="8">
        <v>2.5</v>
      </c>
      <c r="M46" s="8">
        <v>3</v>
      </c>
      <c r="N46" s="5">
        <v>45.833520438902362</v>
      </c>
      <c r="O46" s="5">
        <v>7.3794695452709114</v>
      </c>
      <c r="P46" s="5">
        <v>4.2633337952579842</v>
      </c>
      <c r="Q46" s="8">
        <v>4</v>
      </c>
      <c r="R46" s="8">
        <v>3</v>
      </c>
      <c r="S46" s="8">
        <v>4</v>
      </c>
      <c r="T46" s="5">
        <v>46.135508870797906</v>
      </c>
      <c r="U46" s="5">
        <v>7.6406998367779533</v>
      </c>
      <c r="V46" s="5">
        <v>4.27449760111549</v>
      </c>
    </row>
    <row r="47" spans="1:22" x14ac:dyDescent="0.25">
      <c r="A47">
        <v>2006</v>
      </c>
      <c r="B47" s="11" t="s">
        <v>75</v>
      </c>
      <c r="C47" t="str">
        <f t="shared" si="0"/>
        <v>2006B02C0035D00</v>
      </c>
      <c r="D47" s="4" t="s">
        <v>24</v>
      </c>
      <c r="F47" s="2" t="s">
        <v>25</v>
      </c>
      <c r="G47" s="2" t="s">
        <v>26</v>
      </c>
      <c r="H47" s="4" t="s">
        <v>29</v>
      </c>
      <c r="I47" t="s">
        <v>28</v>
      </c>
      <c r="J47" s="5">
        <v>5.49</v>
      </c>
      <c r="K47" s="8">
        <v>3.5</v>
      </c>
      <c r="L47" s="8">
        <v>1</v>
      </c>
      <c r="M47" s="8">
        <v>3</v>
      </c>
      <c r="N47" s="5">
        <v>45.82399314146398</v>
      </c>
      <c r="O47" s="5">
        <v>7.8056495462876523</v>
      </c>
      <c r="P47" s="5">
        <v>4.8702964907337387</v>
      </c>
      <c r="Q47" s="8">
        <v>3.5</v>
      </c>
      <c r="R47" s="8">
        <v>1.5</v>
      </c>
      <c r="S47" s="8">
        <v>3</v>
      </c>
      <c r="T47" s="5">
        <v>50.991175681970816</v>
      </c>
      <c r="U47" s="5">
        <v>7.4606893140218293</v>
      </c>
      <c r="V47" s="5">
        <v>5.7320545481402085</v>
      </c>
    </row>
    <row r="48" spans="1:22" x14ac:dyDescent="0.25">
      <c r="A48">
        <v>2006</v>
      </c>
      <c r="B48" s="11" t="s">
        <v>76</v>
      </c>
      <c r="C48" t="str">
        <f t="shared" si="0"/>
        <v>2006B02C0119D00</v>
      </c>
      <c r="D48" s="4" t="s">
        <v>24</v>
      </c>
      <c r="F48" s="2" t="s">
        <v>27</v>
      </c>
      <c r="G48" s="2" t="s">
        <v>26</v>
      </c>
      <c r="H48" s="4" t="s">
        <v>29</v>
      </c>
      <c r="I48" t="s">
        <v>28</v>
      </c>
      <c r="J48" s="6">
        <v>5.75</v>
      </c>
      <c r="K48" s="9">
        <v>4</v>
      </c>
      <c r="L48" s="9">
        <v>1.5</v>
      </c>
      <c r="M48" s="9">
        <v>3</v>
      </c>
      <c r="N48" s="6">
        <v>45.233023656928403</v>
      </c>
      <c r="O48" s="6">
        <v>7.5329670208434951</v>
      </c>
      <c r="P48" s="6">
        <v>4.0387100741723359</v>
      </c>
      <c r="Q48" s="9">
        <v>3.5</v>
      </c>
      <c r="R48" s="9">
        <v>2</v>
      </c>
      <c r="S48" s="9">
        <v>3</v>
      </c>
      <c r="T48" s="6">
        <v>46.302168471576522</v>
      </c>
      <c r="U48" s="6">
        <v>7.613860324466037</v>
      </c>
      <c r="V48" s="6">
        <v>3.9931851222790637</v>
      </c>
    </row>
    <row r="49" spans="1:22" ht="15.75" thickBot="1" x14ac:dyDescent="0.3">
      <c r="A49">
        <v>2006</v>
      </c>
      <c r="B49" s="12" t="s">
        <v>77</v>
      </c>
      <c r="C49" t="str">
        <f t="shared" si="0"/>
        <v>2006B02C0039D00</v>
      </c>
      <c r="D49" s="4" t="s">
        <v>24</v>
      </c>
      <c r="F49" s="3" t="s">
        <v>27</v>
      </c>
      <c r="G49" s="3" t="s">
        <v>26</v>
      </c>
      <c r="H49" s="4" t="s">
        <v>29</v>
      </c>
      <c r="I49" t="s">
        <v>28</v>
      </c>
      <c r="J49" s="7">
        <v>5.45</v>
      </c>
      <c r="K49" s="10">
        <v>3</v>
      </c>
      <c r="L49" s="10">
        <v>1</v>
      </c>
      <c r="M49" s="10">
        <v>3</v>
      </c>
      <c r="N49" s="7">
        <v>48.893844213912857</v>
      </c>
      <c r="O49" s="7">
        <v>6.2906498360199574</v>
      </c>
      <c r="P49" s="7">
        <v>3.7562322216777577</v>
      </c>
      <c r="Q49" s="10">
        <v>3.5</v>
      </c>
      <c r="R49" s="10">
        <v>2</v>
      </c>
      <c r="S49" s="10">
        <v>3</v>
      </c>
      <c r="T49" s="7">
        <v>49.883153845775908</v>
      </c>
      <c r="U49" s="7">
        <v>7.5257093594852105</v>
      </c>
      <c r="V49" s="7">
        <v>3.2393914600021612</v>
      </c>
    </row>
    <row r="50" spans="1:22" x14ac:dyDescent="0.25">
      <c r="A50">
        <v>2006</v>
      </c>
      <c r="B50" s="11" t="s">
        <v>78</v>
      </c>
      <c r="C50" t="str">
        <f t="shared" si="0"/>
        <v>2006B02C0047D00</v>
      </c>
      <c r="D50" s="4" t="s">
        <v>24</v>
      </c>
      <c r="F50" s="2" t="s">
        <v>27</v>
      </c>
      <c r="G50" s="2" t="s">
        <v>26</v>
      </c>
      <c r="H50" s="4" t="s">
        <v>29</v>
      </c>
      <c r="I50" t="s">
        <v>28</v>
      </c>
      <c r="J50" s="6">
        <v>5.54</v>
      </c>
      <c r="K50" s="9">
        <v>3.5</v>
      </c>
      <c r="L50" s="9">
        <v>2.5</v>
      </c>
      <c r="M50" s="9">
        <v>3</v>
      </c>
      <c r="N50" s="6">
        <v>50.513601824716773</v>
      </c>
      <c r="O50" s="6">
        <v>9.0337773318763794</v>
      </c>
      <c r="P50" s="6">
        <v>4.6126974838118118</v>
      </c>
      <c r="Q50" s="9">
        <v>3</v>
      </c>
      <c r="R50" s="9">
        <v>2.5</v>
      </c>
      <c r="S50" s="9">
        <v>2</v>
      </c>
      <c r="T50" s="6">
        <v>58.824077657700471</v>
      </c>
      <c r="U50" s="6">
        <v>10.234475671693444</v>
      </c>
      <c r="V50" s="13">
        <v>7.8994153454990057</v>
      </c>
    </row>
    <row r="51" spans="1:22" x14ac:dyDescent="0.25">
      <c r="A51">
        <v>2006</v>
      </c>
      <c r="B51" s="11" t="s">
        <v>79</v>
      </c>
      <c r="C51" t="str">
        <f t="shared" si="0"/>
        <v>2006B02C0052D00</v>
      </c>
      <c r="D51" s="4" t="s">
        <v>24</v>
      </c>
      <c r="F51" s="2" t="s">
        <v>25</v>
      </c>
      <c r="G51" s="2" t="s">
        <v>26</v>
      </c>
      <c r="H51" s="4" t="s">
        <v>29</v>
      </c>
      <c r="I51" t="s">
        <v>28</v>
      </c>
      <c r="J51" s="6">
        <v>5.44</v>
      </c>
      <c r="K51" s="9">
        <v>3</v>
      </c>
      <c r="L51" s="9">
        <v>2</v>
      </c>
      <c r="M51" s="9">
        <v>4</v>
      </c>
      <c r="N51" s="6">
        <v>50.282289346848259</v>
      </c>
      <c r="O51" s="6">
        <v>10.070908826186775</v>
      </c>
      <c r="P51" s="6">
        <v>4.3170830126876059</v>
      </c>
      <c r="Q51" s="9">
        <v>3</v>
      </c>
      <c r="R51" s="9">
        <v>2</v>
      </c>
      <c r="S51" s="9">
        <v>2</v>
      </c>
      <c r="T51" s="6">
        <v>50.815653161779835</v>
      </c>
      <c r="U51" s="6">
        <v>8.4319300175077494</v>
      </c>
      <c r="V51" s="6">
        <v>4.0940928692269951</v>
      </c>
    </row>
    <row r="52" spans="1:22" x14ac:dyDescent="0.25">
      <c r="A52">
        <v>2006</v>
      </c>
      <c r="B52" s="11" t="s">
        <v>80</v>
      </c>
      <c r="C52" t="str">
        <f t="shared" si="0"/>
        <v>2006B02C0048D00</v>
      </c>
      <c r="D52" s="4" t="s">
        <v>24</v>
      </c>
      <c r="F52" s="2" t="s">
        <v>27</v>
      </c>
      <c r="G52" s="2" t="s">
        <v>26</v>
      </c>
      <c r="H52" s="4" t="s">
        <v>29</v>
      </c>
      <c r="I52" t="s">
        <v>28</v>
      </c>
      <c r="J52" s="6">
        <v>5.74</v>
      </c>
      <c r="K52" s="9">
        <v>3.5</v>
      </c>
      <c r="L52" s="9">
        <v>3</v>
      </c>
      <c r="M52" s="9">
        <v>3</v>
      </c>
      <c r="N52" s="6">
        <v>46.089655375933546</v>
      </c>
      <c r="O52" s="6">
        <v>9.4979227779403708</v>
      </c>
      <c r="P52" s="6">
        <v>5.4017603911374446</v>
      </c>
      <c r="Q52" s="9">
        <v>3.5</v>
      </c>
      <c r="R52" s="9">
        <v>3</v>
      </c>
      <c r="S52" s="9">
        <v>4</v>
      </c>
      <c r="T52" s="6">
        <v>47.465266136345683</v>
      </c>
      <c r="U52" s="6">
        <v>9.3165163630681285</v>
      </c>
      <c r="V52" s="6">
        <v>5.9573292067508499</v>
      </c>
    </row>
    <row r="53" spans="1:22" ht="15.75" thickBot="1" x14ac:dyDescent="0.3">
      <c r="A53">
        <v>2006</v>
      </c>
      <c r="B53" s="12" t="s">
        <v>81</v>
      </c>
      <c r="C53" t="str">
        <f t="shared" si="0"/>
        <v>2006B02C0070D00</v>
      </c>
      <c r="D53" s="4" t="s">
        <v>24</v>
      </c>
      <c r="F53" s="3" t="s">
        <v>27</v>
      </c>
      <c r="G53" s="3" t="s">
        <v>26</v>
      </c>
      <c r="H53" s="4" t="s">
        <v>29</v>
      </c>
      <c r="I53" t="s">
        <v>28</v>
      </c>
      <c r="J53" s="7">
        <v>5.59</v>
      </c>
      <c r="K53" s="10">
        <v>3.5</v>
      </c>
      <c r="L53" s="10">
        <v>3.5</v>
      </c>
      <c r="M53" s="10">
        <v>4</v>
      </c>
      <c r="N53" s="7">
        <v>46.269981359113977</v>
      </c>
      <c r="O53" s="7">
        <v>8.6806926849808406</v>
      </c>
      <c r="P53" s="7">
        <v>4.6222274953698905</v>
      </c>
      <c r="Q53" s="10">
        <v>3.5</v>
      </c>
      <c r="R53" s="10">
        <v>4</v>
      </c>
      <c r="S53" s="10">
        <v>4</v>
      </c>
      <c r="T53" s="7">
        <v>52.76843761401301</v>
      </c>
      <c r="U53" s="7">
        <v>8.1555263730074259</v>
      </c>
      <c r="V53" s="7">
        <v>4.79167023326732</v>
      </c>
    </row>
    <row r="54" spans="1:22" x14ac:dyDescent="0.25">
      <c r="A54">
        <v>2006</v>
      </c>
      <c r="B54" s="11" t="s">
        <v>82</v>
      </c>
      <c r="C54" t="str">
        <f t="shared" si="0"/>
        <v>2006B02C0060D00</v>
      </c>
      <c r="D54" s="4" t="s">
        <v>24</v>
      </c>
      <c r="F54" s="2" t="s">
        <v>27</v>
      </c>
      <c r="G54" s="2" t="s">
        <v>26</v>
      </c>
      <c r="H54" s="4" t="s">
        <v>29</v>
      </c>
      <c r="I54" t="s">
        <v>28</v>
      </c>
      <c r="J54" s="6">
        <v>5.89</v>
      </c>
      <c r="K54" s="9">
        <v>4.5</v>
      </c>
      <c r="L54" s="9">
        <v>2</v>
      </c>
      <c r="M54" s="9">
        <v>3</v>
      </c>
      <c r="N54" s="6">
        <v>45.445980942192065</v>
      </c>
      <c r="O54" s="6">
        <v>8.9446791422695409</v>
      </c>
      <c r="P54" s="6">
        <v>5.2369951320613728</v>
      </c>
      <c r="Q54" s="9">
        <v>4</v>
      </c>
      <c r="R54" s="9">
        <v>2.5</v>
      </c>
      <c r="S54" s="9">
        <v>3</v>
      </c>
      <c r="T54" s="6">
        <v>48.118604649698767</v>
      </c>
      <c r="U54" s="6">
        <v>7.7005825689484002</v>
      </c>
      <c r="V54" s="6">
        <v>4.93692115130695</v>
      </c>
    </row>
    <row r="55" spans="1:22" x14ac:dyDescent="0.25">
      <c r="A55">
        <v>2006</v>
      </c>
      <c r="B55" s="11" t="s">
        <v>83</v>
      </c>
      <c r="C55" t="str">
        <f t="shared" si="0"/>
        <v>2006B02C0058D00</v>
      </c>
      <c r="D55" s="4" t="s">
        <v>24</v>
      </c>
      <c r="F55" s="2" t="s">
        <v>27</v>
      </c>
      <c r="G55" s="2" t="s">
        <v>26</v>
      </c>
      <c r="H55" s="4" t="s">
        <v>29</v>
      </c>
      <c r="I55" t="s">
        <v>28</v>
      </c>
      <c r="J55" s="6">
        <v>5.64</v>
      </c>
      <c r="K55" s="9">
        <v>3.5</v>
      </c>
      <c r="L55" s="9">
        <v>2</v>
      </c>
      <c r="M55" s="9">
        <v>3</v>
      </c>
      <c r="N55" s="6">
        <v>47.877239784870184</v>
      </c>
      <c r="O55" s="6">
        <v>7.2665749508664668</v>
      </c>
      <c r="P55" s="6">
        <v>2.935227807702101</v>
      </c>
      <c r="Q55" s="9">
        <v>3.5</v>
      </c>
      <c r="R55" s="9">
        <v>1.5</v>
      </c>
      <c r="S55" s="9">
        <v>3</v>
      </c>
      <c r="T55" s="6">
        <v>51.057193999483246</v>
      </c>
      <c r="U55" s="6">
        <v>7.764501885806629</v>
      </c>
      <c r="V55" s="6">
        <v>4.4827736990608713</v>
      </c>
    </row>
    <row r="56" spans="1:22" x14ac:dyDescent="0.25">
      <c r="A56">
        <v>2006</v>
      </c>
      <c r="B56" s="11" t="s">
        <v>84</v>
      </c>
      <c r="C56" t="str">
        <f t="shared" si="0"/>
        <v>2006B02C0092D00</v>
      </c>
      <c r="D56" s="4" t="s">
        <v>24</v>
      </c>
      <c r="F56" s="2" t="s">
        <v>27</v>
      </c>
      <c r="G56" s="2" t="s">
        <v>26</v>
      </c>
      <c r="H56" s="4" t="s">
        <v>29</v>
      </c>
      <c r="I56" t="s">
        <v>28</v>
      </c>
      <c r="J56" s="6">
        <v>5.5</v>
      </c>
      <c r="K56" s="9">
        <v>3.5</v>
      </c>
      <c r="L56" s="9">
        <v>2</v>
      </c>
      <c r="M56" s="9">
        <v>3</v>
      </c>
      <c r="N56" s="6">
        <v>47.337123730548633</v>
      </c>
      <c r="O56" s="6">
        <v>9.6275926402460961</v>
      </c>
      <c r="P56" s="6">
        <v>3.9619300606522412</v>
      </c>
      <c r="Q56" s="9">
        <v>3.5</v>
      </c>
      <c r="R56" s="9">
        <v>3</v>
      </c>
      <c r="S56" s="9">
        <v>2</v>
      </c>
      <c r="T56" s="6">
        <v>50.411126262498342</v>
      </c>
      <c r="U56" s="6">
        <v>8.9230707668676583</v>
      </c>
      <c r="V56" s="6">
        <v>5.3307674307226938</v>
      </c>
    </row>
    <row r="57" spans="1:22" ht="15.75" thickBot="1" x14ac:dyDescent="0.3">
      <c r="A57">
        <v>2006</v>
      </c>
      <c r="B57" s="12" t="s">
        <v>85</v>
      </c>
      <c r="C57" t="str">
        <f t="shared" si="0"/>
        <v>2006B02C0074D00</v>
      </c>
      <c r="D57" s="4" t="s">
        <v>24</v>
      </c>
      <c r="F57" s="3" t="s">
        <v>25</v>
      </c>
      <c r="G57" s="3" t="s">
        <v>26</v>
      </c>
      <c r="H57" s="4" t="s">
        <v>29</v>
      </c>
      <c r="I57" t="s">
        <v>28</v>
      </c>
      <c r="J57" s="7">
        <v>5.6</v>
      </c>
      <c r="K57" s="10">
        <v>3.5</v>
      </c>
      <c r="L57" s="10">
        <v>1.5</v>
      </c>
      <c r="M57" s="10">
        <v>3</v>
      </c>
      <c r="N57" s="7">
        <v>46.586383017436908</v>
      </c>
      <c r="O57" s="7">
        <v>8.7200980923360376</v>
      </c>
      <c r="P57" s="7">
        <v>2.5791719117491452</v>
      </c>
      <c r="Q57" s="10">
        <v>3</v>
      </c>
      <c r="R57" s="10">
        <v>2.5</v>
      </c>
      <c r="S57" s="10">
        <v>4</v>
      </c>
      <c r="T57" s="7">
        <v>51.23145924040783</v>
      </c>
      <c r="U57" s="7">
        <v>7.9707019108626875</v>
      </c>
      <c r="V57" s="7">
        <v>4.5359072577998649</v>
      </c>
    </row>
    <row r="58" spans="1:22" x14ac:dyDescent="0.25">
      <c r="A58">
        <v>2006</v>
      </c>
      <c r="B58" s="11" t="s">
        <v>86</v>
      </c>
      <c r="C58" t="str">
        <f t="shared" si="0"/>
        <v>2006B02C0019D00</v>
      </c>
      <c r="D58" s="4" t="s">
        <v>24</v>
      </c>
      <c r="F58" s="2" t="s">
        <v>25</v>
      </c>
      <c r="G58" s="2" t="s">
        <v>26</v>
      </c>
      <c r="H58" s="4" t="s">
        <v>29</v>
      </c>
      <c r="I58" t="s">
        <v>28</v>
      </c>
      <c r="J58" s="6">
        <v>5.59</v>
      </c>
      <c r="K58" s="9">
        <v>3</v>
      </c>
      <c r="L58" s="9">
        <v>2</v>
      </c>
      <c r="M58" s="9">
        <v>3</v>
      </c>
      <c r="N58" s="6">
        <v>46.53453675785574</v>
      </c>
      <c r="O58" s="6">
        <v>7.0255285542576988</v>
      </c>
      <c r="P58" s="6">
        <v>2.2628894701791191</v>
      </c>
      <c r="Q58" s="9">
        <v>3</v>
      </c>
      <c r="R58" s="9">
        <v>3</v>
      </c>
      <c r="S58" s="9">
        <v>3</v>
      </c>
      <c r="T58" s="6">
        <v>53.666528978867049</v>
      </c>
      <c r="U58" s="6">
        <v>6.7408818074160548</v>
      </c>
      <c r="V58" s="6">
        <v>4.1081165979617085</v>
      </c>
    </row>
    <row r="59" spans="1:22" x14ac:dyDescent="0.25">
      <c r="A59">
        <v>2006</v>
      </c>
      <c r="B59" s="11" t="s">
        <v>87</v>
      </c>
      <c r="C59" t="str">
        <f t="shared" si="0"/>
        <v>2006B02C0126D00</v>
      </c>
      <c r="D59" s="4" t="s">
        <v>24</v>
      </c>
      <c r="F59" s="2" t="s">
        <v>27</v>
      </c>
      <c r="G59" s="2" t="s">
        <v>26</v>
      </c>
      <c r="H59" s="4" t="s">
        <v>29</v>
      </c>
      <c r="I59" t="s">
        <v>28</v>
      </c>
      <c r="J59" s="5">
        <v>5.53</v>
      </c>
      <c r="K59" s="8">
        <v>3</v>
      </c>
      <c r="L59" s="8">
        <v>2</v>
      </c>
      <c r="M59" s="8">
        <v>3</v>
      </c>
      <c r="N59" s="5">
        <v>50.314249737770538</v>
      </c>
      <c r="O59" s="5">
        <v>10.338499094226904</v>
      </c>
      <c r="P59" s="5">
        <v>6.2429247379063968</v>
      </c>
      <c r="Q59" s="8">
        <v>3</v>
      </c>
      <c r="R59" s="8">
        <v>2</v>
      </c>
      <c r="S59" s="8">
        <v>3</v>
      </c>
      <c r="T59" s="5">
        <v>57.963889740077448</v>
      </c>
      <c r="U59" s="5">
        <v>7.9228467830899652</v>
      </c>
      <c r="V59" s="5">
        <v>7.5387940046065083</v>
      </c>
    </row>
    <row r="60" spans="1:22" x14ac:dyDescent="0.25">
      <c r="A60">
        <v>2006</v>
      </c>
      <c r="B60" s="11" t="s">
        <v>88</v>
      </c>
      <c r="C60" t="str">
        <f t="shared" si="0"/>
        <v>2006B02C0042D00</v>
      </c>
      <c r="D60" s="4" t="s">
        <v>24</v>
      </c>
      <c r="F60" s="2" t="s">
        <v>25</v>
      </c>
      <c r="G60" s="2" t="s">
        <v>26</v>
      </c>
      <c r="H60" s="4" t="s">
        <v>29</v>
      </c>
      <c r="I60" t="s">
        <v>28</v>
      </c>
      <c r="J60" s="5">
        <v>5.53</v>
      </c>
      <c r="K60" s="8">
        <v>3.5</v>
      </c>
      <c r="L60" s="8">
        <v>1</v>
      </c>
      <c r="M60" s="8">
        <v>3</v>
      </c>
      <c r="N60" s="5">
        <v>47.795525857045178</v>
      </c>
      <c r="O60" s="5">
        <v>8.9083434528479657</v>
      </c>
      <c r="P60" s="5">
        <v>5.2254085130348349</v>
      </c>
      <c r="Q60" s="8">
        <v>3.5</v>
      </c>
      <c r="R60" s="8">
        <v>1.5</v>
      </c>
      <c r="S60" s="8">
        <v>3</v>
      </c>
      <c r="T60" s="5">
        <v>50.042194310807005</v>
      </c>
      <c r="U60" s="5">
        <v>8.0117095704454471</v>
      </c>
      <c r="V60" s="5">
        <v>5.1465709724811237</v>
      </c>
    </row>
    <row r="61" spans="1:22" ht="15.75" thickBot="1" x14ac:dyDescent="0.3">
      <c r="A61">
        <v>2006</v>
      </c>
      <c r="B61" s="12" t="s">
        <v>89</v>
      </c>
      <c r="C61" t="str">
        <f t="shared" si="0"/>
        <v>2006B02C0093D00</v>
      </c>
      <c r="D61" s="4" t="s">
        <v>24</v>
      </c>
      <c r="F61" s="3" t="s">
        <v>25</v>
      </c>
      <c r="G61" s="3" t="s">
        <v>26</v>
      </c>
      <c r="H61" s="4" t="s">
        <v>29</v>
      </c>
      <c r="I61" t="s">
        <v>28</v>
      </c>
      <c r="J61" s="7">
        <v>5.51</v>
      </c>
      <c r="K61" s="10">
        <v>3</v>
      </c>
      <c r="L61" s="10">
        <v>1.5</v>
      </c>
      <c r="M61" s="10">
        <v>3</v>
      </c>
      <c r="N61" s="7">
        <v>47.17979768751561</v>
      </c>
      <c r="O61" s="7">
        <v>8.1100112429590148</v>
      </c>
      <c r="P61" s="7">
        <v>4.7878228501379905</v>
      </c>
      <c r="Q61" s="10">
        <v>3</v>
      </c>
      <c r="R61" s="10">
        <v>2.5</v>
      </c>
      <c r="S61" s="10">
        <v>3</v>
      </c>
      <c r="T61" s="7">
        <v>51.028254607154949</v>
      </c>
      <c r="U61" s="7">
        <v>10.209930097684005</v>
      </c>
      <c r="V61" s="7">
        <v>7.1021340960706114</v>
      </c>
    </row>
    <row r="62" spans="1:22" x14ac:dyDescent="0.25">
      <c r="A62">
        <v>2006</v>
      </c>
      <c r="B62" s="11" t="s">
        <v>90</v>
      </c>
      <c r="C62" t="str">
        <f t="shared" si="0"/>
        <v>2006B02C0034D00</v>
      </c>
      <c r="D62" s="4" t="s">
        <v>24</v>
      </c>
      <c r="F62" s="2" t="s">
        <v>25</v>
      </c>
      <c r="G62" s="2" t="s">
        <v>26</v>
      </c>
      <c r="H62" s="4" t="s">
        <v>29</v>
      </c>
      <c r="I62" t="s">
        <v>28</v>
      </c>
      <c r="J62" s="6">
        <v>5.48</v>
      </c>
      <c r="K62" s="9">
        <v>3</v>
      </c>
      <c r="L62" s="9">
        <v>1.5</v>
      </c>
      <c r="M62" s="9">
        <v>3</v>
      </c>
      <c r="N62" s="6">
        <v>46.86408992591354</v>
      </c>
      <c r="O62" s="6">
        <v>7.2288490463826012</v>
      </c>
      <c r="P62" s="6">
        <v>3.7781479399613849</v>
      </c>
      <c r="Q62" s="9">
        <v>3</v>
      </c>
      <c r="R62" s="9">
        <v>1.5</v>
      </c>
      <c r="S62" s="9">
        <v>3</v>
      </c>
      <c r="T62" s="6">
        <v>48.196973877413598</v>
      </c>
      <c r="U62" s="6">
        <v>7.5039551068626364</v>
      </c>
      <c r="V62" s="6">
        <v>3.586756291584603</v>
      </c>
    </row>
    <row r="63" spans="1:22" x14ac:dyDescent="0.25">
      <c r="A63">
        <v>2006</v>
      </c>
      <c r="B63" s="11" t="s">
        <v>91</v>
      </c>
      <c r="C63" t="str">
        <f t="shared" si="0"/>
        <v>2006B02C0152D00</v>
      </c>
      <c r="D63" s="4" t="s">
        <v>24</v>
      </c>
      <c r="F63" s="2" t="s">
        <v>27</v>
      </c>
      <c r="G63" s="2" t="s">
        <v>26</v>
      </c>
      <c r="H63" s="4" t="s">
        <v>29</v>
      </c>
      <c r="I63" t="s">
        <v>28</v>
      </c>
      <c r="J63" s="6">
        <v>5.55</v>
      </c>
      <c r="K63" s="9">
        <v>3.5</v>
      </c>
      <c r="L63" s="9">
        <v>1.5</v>
      </c>
      <c r="M63" s="9">
        <v>3</v>
      </c>
      <c r="N63" s="6">
        <v>49.737792853925939</v>
      </c>
      <c r="O63" s="6">
        <v>7.1635618660758631</v>
      </c>
      <c r="P63" s="6">
        <v>2.8983410604120241</v>
      </c>
      <c r="Q63" s="9">
        <v>3</v>
      </c>
      <c r="R63" s="9">
        <v>2</v>
      </c>
      <c r="S63" s="9">
        <v>3</v>
      </c>
      <c r="T63" s="6">
        <v>50.703581408199526</v>
      </c>
      <c r="U63" s="6">
        <v>6.2621780065174049</v>
      </c>
      <c r="V63" s="6">
        <v>3.6988664122621362</v>
      </c>
    </row>
    <row r="64" spans="1:22" x14ac:dyDescent="0.25">
      <c r="A64">
        <v>2006</v>
      </c>
      <c r="B64" s="11" t="s">
        <v>92</v>
      </c>
      <c r="C64" t="str">
        <f t="shared" si="0"/>
        <v>2006B02C0064D00</v>
      </c>
      <c r="D64" s="4" t="s">
        <v>24</v>
      </c>
      <c r="F64" s="2" t="s">
        <v>27</v>
      </c>
      <c r="G64" s="2" t="s">
        <v>26</v>
      </c>
      <c r="H64" s="4" t="s">
        <v>29</v>
      </c>
      <c r="I64" t="s">
        <v>28</v>
      </c>
      <c r="J64" s="6">
        <v>6.15</v>
      </c>
      <c r="K64" s="9">
        <v>4.5</v>
      </c>
      <c r="L64" s="9">
        <v>2</v>
      </c>
      <c r="M64" s="9">
        <v>3</v>
      </c>
      <c r="N64" s="6">
        <v>41.662412223059839</v>
      </c>
      <c r="O64" s="6">
        <v>5.6158520227130859</v>
      </c>
      <c r="P64" s="6">
        <v>1.9950544096010492</v>
      </c>
      <c r="Q64" s="9">
        <v>4</v>
      </c>
      <c r="R64" s="9">
        <v>1.5</v>
      </c>
      <c r="S64" s="9">
        <v>3</v>
      </c>
      <c r="T64" s="6">
        <v>44.120862035260174</v>
      </c>
      <c r="U64" s="6">
        <v>5.2055775352630178</v>
      </c>
      <c r="V64" s="14">
        <v>1.3291827955960178</v>
      </c>
    </row>
    <row r="65" spans="1:22" ht="15.75" thickBot="1" x14ac:dyDescent="0.3">
      <c r="A65">
        <v>2006</v>
      </c>
      <c r="B65" s="12" t="s">
        <v>93</v>
      </c>
      <c r="C65" t="str">
        <f t="shared" si="0"/>
        <v>2006B02C0091D00</v>
      </c>
      <c r="D65" s="4" t="s">
        <v>24</v>
      </c>
      <c r="F65" s="3" t="s">
        <v>27</v>
      </c>
      <c r="G65" s="3" t="s">
        <v>26</v>
      </c>
      <c r="H65" s="4" t="s">
        <v>29</v>
      </c>
      <c r="I65" t="s">
        <v>28</v>
      </c>
      <c r="J65" s="7">
        <v>5.53</v>
      </c>
      <c r="K65" s="10">
        <v>3</v>
      </c>
      <c r="L65" s="10">
        <v>2.5</v>
      </c>
      <c r="M65" s="10">
        <v>3</v>
      </c>
      <c r="N65" s="7">
        <v>53.274106050619281</v>
      </c>
      <c r="O65" s="7">
        <v>9.9501929836225411</v>
      </c>
      <c r="P65" s="7">
        <v>6.8063615408702649</v>
      </c>
      <c r="Q65" s="10">
        <v>3</v>
      </c>
      <c r="R65" s="10">
        <v>2.5</v>
      </c>
      <c r="S65" s="10">
        <v>2</v>
      </c>
      <c r="T65" s="7">
        <v>59.706711224286991</v>
      </c>
      <c r="U65" s="7">
        <v>8.0846487116716936</v>
      </c>
      <c r="V65" s="7">
        <v>7.0837884949722429</v>
      </c>
    </row>
    <row r="66" spans="1:22" x14ac:dyDescent="0.25">
      <c r="A66">
        <v>2006</v>
      </c>
      <c r="B66" s="11" t="s">
        <v>94</v>
      </c>
      <c r="C66" t="str">
        <f t="shared" si="0"/>
        <v>2006B02C0020D00</v>
      </c>
      <c r="D66" s="4" t="s">
        <v>24</v>
      </c>
      <c r="F66" s="2" t="s">
        <v>25</v>
      </c>
      <c r="G66" s="2" t="s">
        <v>26</v>
      </c>
      <c r="H66" s="4" t="s">
        <v>29</v>
      </c>
      <c r="I66" t="s">
        <v>28</v>
      </c>
      <c r="J66" s="6">
        <v>5.54</v>
      </c>
      <c r="K66" s="9">
        <v>3.5</v>
      </c>
      <c r="L66" s="9">
        <v>2</v>
      </c>
      <c r="M66" s="9">
        <v>3</v>
      </c>
      <c r="N66" s="6">
        <v>52.10075150236294</v>
      </c>
      <c r="O66" s="6">
        <v>7.5099854642525221</v>
      </c>
      <c r="P66" s="6">
        <v>6.5503627784748497</v>
      </c>
      <c r="Q66" s="9">
        <v>3</v>
      </c>
      <c r="R66" s="9">
        <v>1.5</v>
      </c>
      <c r="S66" s="9">
        <v>3</v>
      </c>
      <c r="T66" s="6">
        <v>51.399099390091536</v>
      </c>
      <c r="U66" s="6">
        <v>6.4101560017302823</v>
      </c>
      <c r="V66" s="6">
        <v>4.8802470485098226</v>
      </c>
    </row>
    <row r="67" spans="1:22" x14ac:dyDescent="0.25">
      <c r="A67">
        <v>2006</v>
      </c>
      <c r="B67" s="11" t="s">
        <v>95</v>
      </c>
      <c r="C67" t="str">
        <f t="shared" ref="C67:C77" si="1">CONCATENATE(A67,"B",D67,"C",B67,"D",H67)</f>
        <v>2006B02C0124D00</v>
      </c>
      <c r="D67" s="4" t="s">
        <v>24</v>
      </c>
      <c r="F67" s="2" t="s">
        <v>27</v>
      </c>
      <c r="G67" s="2" t="s">
        <v>26</v>
      </c>
      <c r="H67" s="4" t="s">
        <v>29</v>
      </c>
      <c r="I67" t="s">
        <v>28</v>
      </c>
      <c r="J67" s="6">
        <v>5.62</v>
      </c>
      <c r="K67" s="9">
        <v>3</v>
      </c>
      <c r="L67" s="9">
        <v>2</v>
      </c>
      <c r="M67" s="9">
        <v>3</v>
      </c>
      <c r="N67" s="6">
        <v>49.545798427130379</v>
      </c>
      <c r="O67" s="6">
        <v>7.5593728416654677</v>
      </c>
      <c r="P67" s="6">
        <v>3.3763750408477566</v>
      </c>
      <c r="Q67" s="9">
        <v>4</v>
      </c>
      <c r="R67" s="9">
        <v>1.5</v>
      </c>
      <c r="S67" s="9">
        <v>3</v>
      </c>
      <c r="T67" s="6">
        <v>51.259073951831766</v>
      </c>
      <c r="U67" s="6">
        <v>7.2869413397506637</v>
      </c>
      <c r="V67" s="6">
        <v>4.6961620973043905</v>
      </c>
    </row>
    <row r="68" spans="1:22" x14ac:dyDescent="0.25">
      <c r="A68">
        <v>2006</v>
      </c>
      <c r="B68" s="11" t="s">
        <v>96</v>
      </c>
      <c r="C68" t="str">
        <f t="shared" si="1"/>
        <v>2006B02C0150D00</v>
      </c>
      <c r="D68" s="4" t="s">
        <v>24</v>
      </c>
      <c r="F68" s="2" t="s">
        <v>27</v>
      </c>
      <c r="G68" s="2" t="s">
        <v>26</v>
      </c>
      <c r="H68" s="4" t="s">
        <v>29</v>
      </c>
      <c r="I68" t="s">
        <v>28</v>
      </c>
      <c r="J68" s="6">
        <v>5.57</v>
      </c>
      <c r="K68" s="9">
        <v>3</v>
      </c>
      <c r="L68" s="9">
        <v>2</v>
      </c>
      <c r="M68" s="9">
        <v>3</v>
      </c>
      <c r="N68" s="6">
        <v>48.972820598793476</v>
      </c>
      <c r="O68" s="6">
        <v>10.647723263086162</v>
      </c>
      <c r="P68" s="6">
        <v>6.2649875167668734</v>
      </c>
      <c r="Q68" s="9">
        <v>3.5</v>
      </c>
      <c r="R68" s="9">
        <v>2</v>
      </c>
      <c r="S68" s="9">
        <v>3</v>
      </c>
      <c r="T68" s="6">
        <v>53.228539532833963</v>
      </c>
      <c r="U68" s="6">
        <v>10.238669166981019</v>
      </c>
      <c r="V68" s="6">
        <v>6.6872710612102537</v>
      </c>
    </row>
    <row r="69" spans="1:22" ht="15.75" thickBot="1" x14ac:dyDescent="0.3">
      <c r="A69">
        <v>2006</v>
      </c>
      <c r="B69" s="12" t="s">
        <v>97</v>
      </c>
      <c r="C69" t="str">
        <f t="shared" si="1"/>
        <v>2006B02C0087D00</v>
      </c>
      <c r="D69" s="4" t="s">
        <v>24</v>
      </c>
      <c r="F69" s="3" t="s">
        <v>25</v>
      </c>
      <c r="G69" s="3" t="s">
        <v>26</v>
      </c>
      <c r="H69" s="4" t="s">
        <v>29</v>
      </c>
      <c r="I69" t="s">
        <v>28</v>
      </c>
      <c r="J69" s="7">
        <v>5.49</v>
      </c>
      <c r="K69" s="10">
        <v>3</v>
      </c>
      <c r="L69" s="10">
        <v>2</v>
      </c>
      <c r="M69" s="10">
        <v>4</v>
      </c>
      <c r="N69" s="7">
        <v>47.867036975163451</v>
      </c>
      <c r="O69" s="7">
        <v>7.7435341508311222</v>
      </c>
      <c r="P69" s="7">
        <v>4.3168756216433568</v>
      </c>
      <c r="Q69" s="10">
        <v>3</v>
      </c>
      <c r="R69" s="10">
        <v>3</v>
      </c>
      <c r="S69" s="10">
        <v>3</v>
      </c>
      <c r="T69" s="7">
        <v>53.770360445006219</v>
      </c>
      <c r="U69" s="7">
        <v>5.7715954068128239</v>
      </c>
      <c r="V69" s="7">
        <v>3.7527366005243756</v>
      </c>
    </row>
    <row r="70" spans="1:22" x14ac:dyDescent="0.25">
      <c r="A70">
        <v>2006</v>
      </c>
      <c r="B70" s="11" t="s">
        <v>98</v>
      </c>
      <c r="C70" t="str">
        <f t="shared" si="1"/>
        <v>2006B02C0128D00</v>
      </c>
      <c r="D70" s="4" t="s">
        <v>24</v>
      </c>
      <c r="F70" s="2" t="s">
        <v>27</v>
      </c>
      <c r="G70" s="2" t="s">
        <v>26</v>
      </c>
      <c r="H70" s="4" t="s">
        <v>29</v>
      </c>
      <c r="I70" t="s">
        <v>28</v>
      </c>
      <c r="J70" s="6">
        <v>5.49</v>
      </c>
      <c r="K70" s="9">
        <v>3</v>
      </c>
      <c r="L70" s="9">
        <v>1.5</v>
      </c>
      <c r="M70" s="9">
        <v>3</v>
      </c>
      <c r="N70" s="6">
        <v>52.285361865495418</v>
      </c>
      <c r="O70" s="6">
        <v>9.3229306273608366</v>
      </c>
      <c r="P70" s="6">
        <v>4.7072446163615833</v>
      </c>
      <c r="Q70" s="9">
        <v>3.5</v>
      </c>
      <c r="R70" s="9">
        <v>1.5</v>
      </c>
      <c r="S70" s="9">
        <v>3</v>
      </c>
      <c r="T70" s="6">
        <v>49.219615812402409</v>
      </c>
      <c r="U70" s="6">
        <v>9.4957378952281175</v>
      </c>
      <c r="V70" s="6">
        <v>3.9817095872145325</v>
      </c>
    </row>
    <row r="71" spans="1:22" x14ac:dyDescent="0.25">
      <c r="A71">
        <v>2006</v>
      </c>
      <c r="B71" s="11" t="s">
        <v>99</v>
      </c>
      <c r="C71" t="str">
        <f t="shared" si="1"/>
        <v>2006B02C0044D00</v>
      </c>
      <c r="D71" s="4" t="s">
        <v>24</v>
      </c>
      <c r="F71" s="2" t="s">
        <v>25</v>
      </c>
      <c r="G71" s="2" t="s">
        <v>26</v>
      </c>
      <c r="H71" s="4" t="s">
        <v>29</v>
      </c>
      <c r="I71" t="s">
        <v>28</v>
      </c>
      <c r="J71" s="6">
        <v>5.49</v>
      </c>
      <c r="K71" s="9">
        <v>3.5</v>
      </c>
      <c r="L71" s="9">
        <v>2</v>
      </c>
      <c r="M71" s="9">
        <v>3</v>
      </c>
      <c r="N71" s="6">
        <v>47.444591305234326</v>
      </c>
      <c r="O71" s="6">
        <v>8.1122694788388081</v>
      </c>
      <c r="P71" s="6">
        <v>2.6946373237194621</v>
      </c>
      <c r="Q71" s="9">
        <v>3.5</v>
      </c>
      <c r="R71" s="9">
        <v>2</v>
      </c>
      <c r="S71" s="9">
        <v>2</v>
      </c>
      <c r="T71" s="6">
        <v>54.600547521748467</v>
      </c>
      <c r="U71" s="6">
        <v>8.4437033781188386</v>
      </c>
      <c r="V71" s="6">
        <v>5.578531377566387</v>
      </c>
    </row>
    <row r="72" spans="1:22" x14ac:dyDescent="0.25">
      <c r="A72">
        <v>2006</v>
      </c>
      <c r="B72" s="11" t="s">
        <v>100</v>
      </c>
      <c r="C72" t="str">
        <f t="shared" si="1"/>
        <v>2006B02C0056D00</v>
      </c>
      <c r="D72" s="4" t="s">
        <v>24</v>
      </c>
      <c r="F72" s="2" t="s">
        <v>25</v>
      </c>
      <c r="G72" s="2" t="s">
        <v>26</v>
      </c>
      <c r="H72" s="4" t="s">
        <v>29</v>
      </c>
      <c r="I72" t="s">
        <v>28</v>
      </c>
      <c r="J72" s="6">
        <v>5.58</v>
      </c>
      <c r="K72" s="9">
        <v>3.5</v>
      </c>
      <c r="L72" s="9">
        <v>2</v>
      </c>
      <c r="M72" s="9">
        <v>3</v>
      </c>
      <c r="N72" s="6">
        <v>46.898302398403239</v>
      </c>
      <c r="O72" s="6">
        <v>8.2209124179492559</v>
      </c>
      <c r="P72" s="6">
        <v>2.7758936151367708</v>
      </c>
      <c r="Q72" s="9">
        <v>4</v>
      </c>
      <c r="R72" s="9">
        <v>2</v>
      </c>
      <c r="S72" s="9">
        <v>3</v>
      </c>
      <c r="T72" s="6">
        <v>49.683568639448893</v>
      </c>
      <c r="U72" s="6">
        <v>7.288169956207291</v>
      </c>
      <c r="V72" s="6">
        <v>3.8630641474436622</v>
      </c>
    </row>
    <row r="73" spans="1:22" ht="15.75" thickBot="1" x14ac:dyDescent="0.3">
      <c r="A73">
        <v>2006</v>
      </c>
      <c r="B73" s="12" t="s">
        <v>101</v>
      </c>
      <c r="C73" t="str">
        <f t="shared" si="1"/>
        <v>2006B02C0038D00</v>
      </c>
      <c r="D73" s="4" t="s">
        <v>24</v>
      </c>
      <c r="F73" s="3" t="s">
        <v>27</v>
      </c>
      <c r="G73" s="3" t="s">
        <v>26</v>
      </c>
      <c r="H73" s="4" t="s">
        <v>29</v>
      </c>
      <c r="I73" t="s">
        <v>28</v>
      </c>
      <c r="J73" s="7">
        <v>5.6</v>
      </c>
      <c r="K73" s="10">
        <v>3</v>
      </c>
      <c r="L73" s="10">
        <v>2.5</v>
      </c>
      <c r="M73" s="10">
        <v>3</v>
      </c>
      <c r="N73" s="7">
        <v>47.759710099346933</v>
      </c>
      <c r="O73" s="7">
        <v>6.5492774279812815</v>
      </c>
      <c r="P73" s="7">
        <v>4.5006983910984122</v>
      </c>
      <c r="Q73" s="10">
        <v>3</v>
      </c>
      <c r="R73" s="10">
        <v>1.5</v>
      </c>
      <c r="S73" s="10">
        <v>3</v>
      </c>
      <c r="T73" s="7">
        <v>50.703581408199526</v>
      </c>
      <c r="U73" s="7">
        <v>6.7236786093806122</v>
      </c>
      <c r="V73" s="7">
        <v>5.1651091059075727</v>
      </c>
    </row>
    <row r="74" spans="1:22" x14ac:dyDescent="0.25">
      <c r="A74">
        <v>2006</v>
      </c>
      <c r="B74" s="11" t="s">
        <v>102</v>
      </c>
      <c r="C74" t="str">
        <f t="shared" si="1"/>
        <v>2006B02C0120D00</v>
      </c>
      <c r="D74" s="4" t="s">
        <v>24</v>
      </c>
      <c r="F74" s="2" t="s">
        <v>27</v>
      </c>
      <c r="G74" s="2" t="s">
        <v>26</v>
      </c>
      <c r="H74" s="4" t="s">
        <v>29</v>
      </c>
      <c r="I74" t="s">
        <v>28</v>
      </c>
      <c r="J74" s="6">
        <v>5.47</v>
      </c>
      <c r="K74" s="9">
        <v>3.5</v>
      </c>
      <c r="L74" s="9">
        <v>1.5</v>
      </c>
      <c r="M74" s="9">
        <v>3</v>
      </c>
      <c r="N74" s="6">
        <v>47.1745834346859</v>
      </c>
      <c r="O74" s="6">
        <v>9.7342566893457434</v>
      </c>
      <c r="P74" s="6">
        <v>3.8123167202099406</v>
      </c>
      <c r="Q74" s="9">
        <v>3</v>
      </c>
      <c r="R74" s="9">
        <v>2.5</v>
      </c>
      <c r="S74" s="9">
        <v>3</v>
      </c>
      <c r="T74" s="6">
        <v>55.896051686521531</v>
      </c>
      <c r="U74" s="6">
        <v>8.2083616263024517</v>
      </c>
      <c r="V74" s="6">
        <v>5.3659163104226471</v>
      </c>
    </row>
    <row r="75" spans="1:22" x14ac:dyDescent="0.25">
      <c r="A75">
        <v>2006</v>
      </c>
      <c r="B75" s="11" t="s">
        <v>103</v>
      </c>
      <c r="C75" t="str">
        <f t="shared" si="1"/>
        <v>2006B02C0010D00</v>
      </c>
      <c r="D75" s="4" t="s">
        <v>24</v>
      </c>
      <c r="F75" s="2" t="s">
        <v>25</v>
      </c>
      <c r="G75" s="2" t="s">
        <v>26</v>
      </c>
      <c r="H75" s="4" t="s">
        <v>29</v>
      </c>
      <c r="I75" t="s">
        <v>28</v>
      </c>
      <c r="J75" s="6">
        <v>5.52</v>
      </c>
      <c r="K75" s="9">
        <v>3</v>
      </c>
      <c r="L75" s="9">
        <v>2</v>
      </c>
      <c r="M75" s="9">
        <v>3</v>
      </c>
      <c r="N75" s="6">
        <v>50.499486034431953</v>
      </c>
      <c r="O75" s="6">
        <v>9.4300813344302963</v>
      </c>
      <c r="P75" s="6">
        <v>6.2508699560541503</v>
      </c>
      <c r="Q75" s="9">
        <v>3</v>
      </c>
      <c r="R75" s="9">
        <v>1.5</v>
      </c>
      <c r="S75" s="9">
        <v>3</v>
      </c>
      <c r="T75" s="6">
        <v>50.060083199029748</v>
      </c>
      <c r="U75" s="6">
        <v>7.32946296410808</v>
      </c>
      <c r="V75" s="6">
        <v>4.0069329183830993</v>
      </c>
    </row>
    <row r="76" spans="1:22" x14ac:dyDescent="0.25">
      <c r="A76">
        <v>2006</v>
      </c>
      <c r="B76" s="11" t="s">
        <v>104</v>
      </c>
      <c r="C76" t="str">
        <f t="shared" si="1"/>
        <v>2006B02C0096D00</v>
      </c>
      <c r="D76" s="4" t="s">
        <v>24</v>
      </c>
      <c r="F76" s="2" t="s">
        <v>25</v>
      </c>
      <c r="G76" s="2" t="s">
        <v>26</v>
      </c>
      <c r="H76" s="4" t="s">
        <v>29</v>
      </c>
      <c r="I76" t="s">
        <v>28</v>
      </c>
      <c r="J76" s="6">
        <v>5.51</v>
      </c>
      <c r="K76" s="9">
        <v>3.5</v>
      </c>
      <c r="L76" s="9">
        <v>1.5</v>
      </c>
      <c r="M76" s="9">
        <v>4</v>
      </c>
      <c r="N76" s="6">
        <v>45.787217459404012</v>
      </c>
      <c r="O76" s="6">
        <v>8.1621361670217158</v>
      </c>
      <c r="P76" s="6">
        <v>4.0947298284742306</v>
      </c>
      <c r="Q76" s="9">
        <v>3.5</v>
      </c>
      <c r="R76" s="9">
        <v>2</v>
      </c>
      <c r="S76" s="9">
        <v>3</v>
      </c>
      <c r="T76" s="6">
        <v>48.549787471927999</v>
      </c>
      <c r="U76" s="6">
        <v>7.8915073041178063</v>
      </c>
      <c r="V76" s="6">
        <v>3.6237268845038528</v>
      </c>
    </row>
    <row r="77" spans="1:22" ht="15.75" thickBot="1" x14ac:dyDescent="0.3">
      <c r="A77">
        <v>2006</v>
      </c>
      <c r="B77" s="12" t="s">
        <v>105</v>
      </c>
      <c r="C77" t="str">
        <f t="shared" si="1"/>
        <v>2006B02C0085D00</v>
      </c>
      <c r="D77" s="4" t="s">
        <v>24</v>
      </c>
      <c r="F77" s="3" t="s">
        <v>25</v>
      </c>
      <c r="G77" s="3" t="s">
        <v>26</v>
      </c>
      <c r="H77" s="4" t="s">
        <v>29</v>
      </c>
      <c r="I77" t="s">
        <v>28</v>
      </c>
      <c r="J77" s="7">
        <v>5.78</v>
      </c>
      <c r="K77" s="10">
        <v>4</v>
      </c>
      <c r="L77" s="10">
        <v>1.5</v>
      </c>
      <c r="M77" s="10">
        <v>3</v>
      </c>
      <c r="N77" s="7">
        <v>41.930316312558041</v>
      </c>
      <c r="O77" s="7">
        <v>8.1004814636435327</v>
      </c>
      <c r="P77" s="7">
        <v>3.3870103612179348</v>
      </c>
      <c r="Q77" s="10">
        <v>4</v>
      </c>
      <c r="R77" s="10">
        <v>2</v>
      </c>
      <c r="S77" s="10">
        <v>3</v>
      </c>
      <c r="T77" s="7">
        <v>46.170527698375516</v>
      </c>
      <c r="U77" s="7">
        <v>5.7163325785473678</v>
      </c>
      <c r="V77" s="15">
        <v>2.4370771438541272</v>
      </c>
    </row>
  </sheetData>
  <conditionalFormatting sqref="J2:J77">
    <cfRule type="containsText" dxfId="5" priority="6" operator="containsText" text="#">
      <formula>NOT(ISERROR(SEARCH("#",J2)))</formula>
    </cfRule>
  </conditionalFormatting>
  <conditionalFormatting sqref="K2:K77">
    <cfRule type="containsText" dxfId="4" priority="5" operator="containsText" text="#">
      <formula>NOT(ISERROR(SEARCH("#",K2)))</formula>
    </cfRule>
  </conditionalFormatting>
  <conditionalFormatting sqref="L2:M77">
    <cfRule type="containsText" dxfId="3" priority="4" operator="containsText" text="#">
      <formula>NOT(ISERROR(SEARCH("#",L2)))</formula>
    </cfRule>
  </conditionalFormatting>
  <conditionalFormatting sqref="Q2:S77">
    <cfRule type="containsText" dxfId="2" priority="3" operator="containsText" text="#">
      <formula>NOT(ISERROR(SEARCH("#",Q2)))</formula>
    </cfRule>
  </conditionalFormatting>
  <conditionalFormatting sqref="N2:P77">
    <cfRule type="containsText" dxfId="1" priority="2" operator="containsText" text="#">
      <formula>NOT(ISERROR(SEARCH("#",N2)))</formula>
    </cfRule>
  </conditionalFormatting>
  <conditionalFormatting sqref="T2:V77">
    <cfRule type="containsText" dxfId="0" priority="1" operator="containsText" text="#">
      <formula>NOT(ISERROR(SEARCH("#",T2)))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Meat Lab</dc:creator>
  <cp:lastModifiedBy>Meat Lab</cp:lastModifiedBy>
  <dcterms:created xsi:type="dcterms:W3CDTF">2023-06-15T19:00:37Z</dcterms:created>
  <dcterms:modified xsi:type="dcterms:W3CDTF">2024-02-07T02:20:29Z</dcterms:modified>
</cp:coreProperties>
</file>
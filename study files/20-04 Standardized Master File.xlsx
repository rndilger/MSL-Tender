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0-04 Topigs Waseca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55" i="1" l="1"/>
  <c r="C52" i="1"/>
  <c r="C23" i="1"/>
  <c r="C7" i="1"/>
  <c r="C49" i="1"/>
  <c r="C35" i="1"/>
  <c r="C44" i="1"/>
  <c r="C18" i="1"/>
  <c r="C45" i="1"/>
  <c r="C36" i="1"/>
  <c r="C31" i="1"/>
  <c r="C37" i="1"/>
  <c r="C6" i="1"/>
  <c r="C19" i="1"/>
  <c r="C53" i="1"/>
  <c r="C46" i="1"/>
  <c r="C8" i="1"/>
  <c r="C50" i="1"/>
  <c r="C15" i="1"/>
  <c r="C32" i="1"/>
  <c r="C10" i="1"/>
  <c r="C14" i="1"/>
  <c r="C33" i="1"/>
  <c r="C20" i="1"/>
  <c r="C38" i="1"/>
  <c r="C47" i="1"/>
  <c r="C24" i="1"/>
  <c r="C51" i="1"/>
  <c r="C4" i="1"/>
  <c r="C54" i="1"/>
  <c r="C41" i="1"/>
  <c r="C25" i="1"/>
  <c r="C21" i="1"/>
  <c r="C11" i="1"/>
  <c r="C16" i="1"/>
  <c r="C39" i="1"/>
  <c r="C5" i="1"/>
  <c r="C12" i="1"/>
  <c r="C48" i="1"/>
  <c r="C3" i="1"/>
  <c r="C26" i="1"/>
  <c r="C34" i="1"/>
  <c r="C2" i="1"/>
  <c r="C9" i="1"/>
  <c r="C27" i="1"/>
  <c r="C40" i="1"/>
  <c r="C17" i="1"/>
  <c r="C28" i="1"/>
  <c r="C22" i="1"/>
  <c r="C42" i="1"/>
  <c r="C43" i="1"/>
  <c r="C13" i="1"/>
  <c r="C29" i="1"/>
</calcChain>
</file>

<file path=xl/comments1.xml><?xml version="1.0" encoding="utf-8"?>
<comments xmlns="http://schemas.openxmlformats.org/spreadsheetml/2006/main">
  <authors>
    <author>Author</author>
  </authors>
  <commentList>
    <comment ref="F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Confirmed Barrow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Testicle</t>
        </r>
      </text>
    </comment>
    <comment ref="K40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Blood Splash</t>
        </r>
      </text>
    </comment>
    <comment ref="Q40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2-tone</t>
        </r>
      </text>
    </comment>
    <comment ref="B4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testicle</t>
        </r>
      </text>
    </comment>
  </commentList>
</comments>
</file>

<file path=xl/sharedStrings.xml><?xml version="1.0" encoding="utf-8"?>
<sst xmlns="http://schemas.openxmlformats.org/spreadsheetml/2006/main" count="402" uniqueCount="86">
  <si>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</si>
  <si>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</si>
  <si>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</si>
  <si>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</si>
  <si>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</si>
  <si>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</si>
  <si>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</si>
  <si>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</si>
  <si>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</si>
  <si>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</si>
  <si>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</si>
  <si>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</si>
  <si>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</si>
  <si>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</si>
  <si>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</si>
  <si>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</si>
  <si>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</si>
  <si>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</si>
  <si>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</si>
  <si>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</si>
  <si>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</si>
  <si>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</si>
  <si>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</si>
  <si>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</si>
  <si>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00</t>
  </si>
  <si>
    <t xml:space="preserve">. </t>
  </si>
  <si>
    <t>B</t>
  </si>
  <si>
    <t>G</t>
  </si>
  <si>
    <t>Compart</t>
  </si>
  <si>
    <t>Duroc</t>
  </si>
  <si>
    <t>Tempo</t>
  </si>
  <si>
    <t>.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</si>
  <si>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</si>
  <si>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</si>
  <si>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</si>
  <si>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</si>
  <si>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</si>
  <si>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</si>
  <si>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</si>
  <si>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</si>
  <si>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</si>
  <si>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</si>
  <si>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</si>
  <si>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</si>
  <si>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</si>
  <si>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</si>
  <si>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</si>
  <si>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</si>
  <si>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</si>
  <si>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</si>
  <si>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</si>
  <si>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</si>
  <si>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</si>
  <si>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</si>
  <si>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</si>
  <si>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</si>
  <si>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</si>
  <si>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</si>
  <si>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</si>
  <si>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</si>
  <si>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</si>
  <si>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</si>
  <si>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</si>
  <si>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</si>
  <si>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</si>
  <si>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</si>
  <si>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</si>
  <si>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</si>
  <si>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</si>
  <si>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</si>
  <si>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</si>
  <si>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</si>
  <si>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</si>
  <si>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</si>
  <si>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</si>
  <si>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</si>
  <si>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</si>
  <si>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0451</t>
  </si>
  <si>
    <t>0452</t>
  </si>
  <si>
    <t>0453</t>
  </si>
  <si>
    <t>0454</t>
  </si>
  <si>
    <t>0456</t>
  </si>
  <si>
    <t>0457</t>
  </si>
  <si>
    <t>0458</t>
  </si>
  <si>
    <t>0459</t>
  </si>
  <si>
    <t>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</si>
</sst>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164" fontId="0" fillId="0" borderId="0" xfId="0" applyNumberFormat="1" applyFill="1" applyBorder="1"/>
    <xf numFmtId="2" fontId="0" fillId="0" borderId="0" xfId="0" applyNumberFormat="1"/>
    <xf numFmtId="165" fontId="0" fillId="0" borderId="0" xfId="0" applyNumberFormat="1"/>
    <xf numFmtId="0" fontId="0" fillId="0" borderId="0" xfId="0" applyFill="1" applyAlignment="1">
      <alignment horizontal="right"/>
    </xf>
    <xf numFmtId="165" fontId="0" fillId="0" borderId="0" xfId="0" applyNumberFormat="1" applyFill="1"/>
    <xf numFmtId="2" fontId="0" fillId="0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5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2004</v>
      </c>
      <c r="B2" s="2" t="s">
        <v>75</v>
      </c>
      <c r="C2" t="str">
        <f>CONCATENATE(A2,"B", D2, "C", B2, "D", "00")</f>
        <v>2004B00C0448D00</v>
      </c>
      <c r="D2" s="2" t="s">
        <v>24</v>
      </c>
      <c r="E2" t="s">
        <v>25</v>
      </c>
      <c r="F2" s="3" t="s">
        <v>27</v>
      </c>
      <c r="G2" t="s">
        <v>30</v>
      </c>
      <c r="H2" t="s">
        <v>31</v>
      </c>
      <c r="I2" t="s">
        <v>31</v>
      </c>
      <c r="J2" s="5">
        <v>5.67</v>
      </c>
      <c r="K2" s="6">
        <v>4</v>
      </c>
      <c r="L2" s="6">
        <v>1.5</v>
      </c>
      <c r="M2" s="6">
        <v>2.5</v>
      </c>
      <c r="N2" s="9">
        <v>43.954166131132503</v>
      </c>
      <c r="O2" s="5">
        <v>5.1152138369999998</v>
      </c>
      <c r="P2" s="5">
        <v>1.987731242</v>
      </c>
      <c r="Q2" s="6">
        <v>5</v>
      </c>
      <c r="R2" s="6">
        <v>2</v>
      </c>
      <c r="S2" s="6">
        <v>3.5</v>
      </c>
      <c r="T2" s="5">
        <v>39.005299999999998</v>
      </c>
      <c r="U2" s="5">
        <v>6.9170999999999996</v>
      </c>
      <c r="V2" s="11">
        <v>1.8213999999999999</v>
      </c>
      <c r="W2" s="4">
        <v>0.75231054948043519</v>
      </c>
      <c r="X2" s="4">
        <v>1.1811477556134846E-2</v>
      </c>
    </row>
    <row r="3" spans="1:24" x14ac:dyDescent="0.25">
      <c r="A3">
        <v>2004</v>
      </c>
      <c r="B3" s="2" t="s">
        <v>72</v>
      </c>
      <c r="C3" t="str">
        <f>CONCATENATE(A3,"B", D3, "C", B3, "D", "00")</f>
        <v>2004B00C0445D00</v>
      </c>
      <c r="D3" s="2" t="s">
        <v>24</v>
      </c>
      <c r="E3" t="s">
        <v>25</v>
      </c>
      <c r="F3" s="3" t="s">
        <v>27</v>
      </c>
      <c r="G3" t="s">
        <v>28</v>
      </c>
      <c r="H3" t="s">
        <v>31</v>
      </c>
      <c r="I3" t="s">
        <v>31</v>
      </c>
      <c r="J3" s="5">
        <v>5.69</v>
      </c>
      <c r="K3" s="6">
        <v>4</v>
      </c>
      <c r="L3" s="6">
        <v>3</v>
      </c>
      <c r="M3" s="6">
        <v>3</v>
      </c>
      <c r="N3" s="5">
        <v>44.202671667823601</v>
      </c>
      <c r="O3" s="5">
        <v>5.490643811</v>
      </c>
      <c r="P3" s="5">
        <v>3.230130978</v>
      </c>
      <c r="Q3" s="6">
        <v>5</v>
      </c>
      <c r="R3" s="6">
        <v>4</v>
      </c>
      <c r="S3" s="6">
        <v>3.5</v>
      </c>
      <c r="T3" s="5">
        <v>40.553699999999999</v>
      </c>
      <c r="U3" s="5">
        <v>6.3822999999999999</v>
      </c>
      <c r="V3" s="11">
        <v>2.1392000000000002</v>
      </c>
      <c r="W3" s="4">
        <v>0.74309466191519125</v>
      </c>
      <c r="X3" s="4">
        <v>3.650776457808115E-2</v>
      </c>
    </row>
    <row r="4" spans="1:24" x14ac:dyDescent="0.25">
      <c r="A4">
        <v>2004</v>
      </c>
      <c r="B4" s="2" t="s">
        <v>61</v>
      </c>
      <c r="C4" t="str">
        <f>CONCATENATE(A4,"B", D4, "C", B4, "D", "00")</f>
        <v>2004B00C0433D00</v>
      </c>
      <c r="D4" s="2" t="s">
        <v>24</v>
      </c>
      <c r="E4" t="s">
        <v>25</v>
      </c>
      <c r="F4" s="3" t="s">
        <v>27</v>
      </c>
      <c r="G4" t="s">
        <v>29</v>
      </c>
      <c r="H4" t="s">
        <v>31</v>
      </c>
      <c r="I4" t="s">
        <v>31</v>
      </c>
      <c r="J4" s="5">
        <v>5.69</v>
      </c>
      <c r="K4" s="6">
        <v>3</v>
      </c>
      <c r="L4" s="6">
        <v>2</v>
      </c>
      <c r="M4" s="6">
        <v>3</v>
      </c>
      <c r="N4" s="5">
        <v>38.080081419999999</v>
      </c>
      <c r="O4" s="5">
        <v>7.0601931819999999</v>
      </c>
      <c r="P4" s="5">
        <v>2.817086776</v>
      </c>
      <c r="Q4" s="6">
        <v>4.5</v>
      </c>
      <c r="R4" s="6">
        <v>2</v>
      </c>
      <c r="S4" s="6">
        <v>3</v>
      </c>
      <c r="T4" s="5">
        <v>47.926900000000003</v>
      </c>
      <c r="U4" s="5">
        <v>7.6877000000000004</v>
      </c>
      <c r="V4" s="5">
        <v>5.4653999999999998</v>
      </c>
      <c r="W4" s="4">
        <v>0.75249574950085729</v>
      </c>
      <c r="X4" s="4">
        <v>2.2742688952671453E-2</v>
      </c>
    </row>
    <row r="5" spans="1:24" x14ac:dyDescent="0.25">
      <c r="A5">
        <v>2004</v>
      </c>
      <c r="B5" s="2" t="s">
        <v>69</v>
      </c>
      <c r="C5" t="str">
        <f>CONCATENATE(A5,"B", D5, "C", B5, "D", "00")</f>
        <v>2004B00C0442D00</v>
      </c>
      <c r="D5" s="2" t="s">
        <v>24</v>
      </c>
      <c r="E5" t="s">
        <v>25</v>
      </c>
      <c r="F5" s="7" t="s">
        <v>26</v>
      </c>
      <c r="G5" t="s">
        <v>30</v>
      </c>
      <c r="H5" t="s">
        <v>31</v>
      </c>
      <c r="I5" t="s">
        <v>31</v>
      </c>
      <c r="J5" s="5">
        <v>5.58</v>
      </c>
      <c r="K5" s="6">
        <v>3</v>
      </c>
      <c r="L5" s="6">
        <v>1.5</v>
      </c>
      <c r="M5" s="6">
        <v>3</v>
      </c>
      <c r="N5" s="5">
        <v>46.306189519999997</v>
      </c>
      <c r="O5" s="5">
        <v>5.8960921810000002</v>
      </c>
      <c r="P5" s="5">
        <v>3.1372814180000002</v>
      </c>
      <c r="Q5" s="6">
        <v>4.5</v>
      </c>
      <c r="R5" s="6">
        <v>2.5</v>
      </c>
      <c r="S5" s="6">
        <v>3</v>
      </c>
      <c r="T5" s="5">
        <v>49.764299999999999</v>
      </c>
      <c r="U5" s="5">
        <v>6.6124999999999998</v>
      </c>
      <c r="V5" s="11">
        <v>2.8778000000000001</v>
      </c>
      <c r="W5" s="4">
        <v>0.74973245835597924</v>
      </c>
      <c r="X5" s="4">
        <v>2.1936265626316599E-2</v>
      </c>
    </row>
    <row r="6" spans="1:24" x14ac:dyDescent="0.25">
      <c r="A6">
        <v>2004</v>
      </c>
      <c r="B6" s="2" t="s">
        <v>45</v>
      </c>
      <c r="C6" t="str">
        <f>CONCATENATE(A6,"B", D6, "C", B6, "D", "00")</f>
        <v>2004B00C0415D00</v>
      </c>
      <c r="D6" s="2" t="s">
        <v>24</v>
      </c>
      <c r="E6" t="s">
        <v>25</v>
      </c>
      <c r="F6" s="3" t="s">
        <v>26</v>
      </c>
      <c r="G6" t="s">
        <v>28</v>
      </c>
      <c r="H6" t="s">
        <v>31</v>
      </c>
      <c r="I6" t="s">
        <v>31</v>
      </c>
      <c r="J6" s="5">
        <v>5.9</v>
      </c>
      <c r="K6" s="6">
        <v>4</v>
      </c>
      <c r="L6" s="6">
        <v>2.5</v>
      </c>
      <c r="M6" s="6">
        <v>3</v>
      </c>
      <c r="N6" s="5">
        <v>40.388887910000001</v>
      </c>
      <c r="O6" s="5">
        <v>5.0726158410000002</v>
      </c>
      <c r="P6" s="5">
        <v>2.5686517869999999</v>
      </c>
      <c r="Q6" s="6">
        <v>4.5</v>
      </c>
      <c r="R6" s="6">
        <v>4</v>
      </c>
      <c r="S6" s="6">
        <v>3</v>
      </c>
      <c r="T6" s="5">
        <v>45.625999999999998</v>
      </c>
      <c r="U6" s="5">
        <v>6.8407999999999998</v>
      </c>
      <c r="V6" s="5">
        <v>4.6330999999999998</v>
      </c>
      <c r="W6" s="4">
        <v>0.74734380683863888</v>
      </c>
      <c r="X6" s="4">
        <v>3.4725301149450369E-2</v>
      </c>
    </row>
    <row r="7" spans="1:24" x14ac:dyDescent="0.25">
      <c r="A7">
        <v>2004</v>
      </c>
      <c r="B7" s="12" t="s">
        <v>36</v>
      </c>
      <c r="C7" t="str">
        <f>CONCATENATE(A7,"B", D7, "C", B7, "D", "00")</f>
        <v>2004B00C0405D00</v>
      </c>
      <c r="D7" s="2" t="s">
        <v>24</v>
      </c>
      <c r="E7" t="s">
        <v>25</v>
      </c>
      <c r="F7" s="7" t="s">
        <v>26</v>
      </c>
      <c r="G7" t="s">
        <v>30</v>
      </c>
      <c r="H7" t="s">
        <v>31</v>
      </c>
      <c r="I7" t="s">
        <v>31</v>
      </c>
      <c r="J7" s="9">
        <v>5.67</v>
      </c>
      <c r="K7" s="8">
        <v>3.5</v>
      </c>
      <c r="L7" s="8">
        <v>2</v>
      </c>
      <c r="M7" s="8">
        <v>3</v>
      </c>
      <c r="N7" s="9">
        <v>46.549168770000001</v>
      </c>
      <c r="O7" s="9">
        <v>8.2743773399999991</v>
      </c>
      <c r="P7" s="9">
        <v>6.1513777479999998</v>
      </c>
      <c r="Q7" s="8">
        <v>4</v>
      </c>
      <c r="R7" s="8">
        <v>2</v>
      </c>
      <c r="S7" s="8">
        <v>3.5</v>
      </c>
      <c r="T7" s="9">
        <v>50.707099999999997</v>
      </c>
      <c r="U7" s="9">
        <v>8.2348999999999997</v>
      </c>
      <c r="V7" s="9">
        <v>5.3133999999999997</v>
      </c>
      <c r="W7" s="4">
        <v>0.76010386876542935</v>
      </c>
      <c r="X7" s="4">
        <v>1.6865635408330363E-2</v>
      </c>
    </row>
    <row r="8" spans="1:24" x14ac:dyDescent="0.25">
      <c r="A8">
        <v>2004</v>
      </c>
      <c r="B8" s="2" t="s">
        <v>49</v>
      </c>
      <c r="C8" t="str">
        <f>CONCATENATE(A8,"B", D8, "C", B8, "D", "00")</f>
        <v>2004B00C0419D00</v>
      </c>
      <c r="D8" s="2" t="s">
        <v>24</v>
      </c>
      <c r="E8" t="s">
        <v>25</v>
      </c>
      <c r="F8" s="3" t="s">
        <v>26</v>
      </c>
      <c r="G8" t="s">
        <v>28</v>
      </c>
      <c r="H8" t="s">
        <v>31</v>
      </c>
      <c r="I8" t="s">
        <v>31</v>
      </c>
      <c r="J8" s="5">
        <v>5.62</v>
      </c>
      <c r="K8" s="6">
        <v>3.5</v>
      </c>
      <c r="L8" s="6">
        <v>2</v>
      </c>
      <c r="M8" s="6">
        <v>3</v>
      </c>
      <c r="N8" s="5">
        <v>47.494962630000003</v>
      </c>
      <c r="O8" s="5">
        <v>8.0885334740000001</v>
      </c>
      <c r="P8" s="5">
        <v>4.5423383770000001</v>
      </c>
      <c r="Q8" s="6">
        <v>4</v>
      </c>
      <c r="R8" s="6">
        <v>2</v>
      </c>
      <c r="S8" s="6">
        <v>3</v>
      </c>
      <c r="T8" s="5">
        <v>49.316099999999999</v>
      </c>
      <c r="U8" s="5">
        <v>9.3909000000000002</v>
      </c>
      <c r="V8" s="5">
        <v>5.6680999999999999</v>
      </c>
      <c r="W8" s="4">
        <v>0.73547204726458459</v>
      </c>
      <c r="X8" s="4">
        <v>1.7049547537447435E-2</v>
      </c>
    </row>
    <row r="9" spans="1:24" x14ac:dyDescent="0.25">
      <c r="A9">
        <v>2004</v>
      </c>
      <c r="B9" s="2" t="s">
        <v>76</v>
      </c>
      <c r="C9" t="str">
        <f>CONCATENATE(A9,"B", D9, "C", B9, "D", "00")</f>
        <v>2004B00C0449D00</v>
      </c>
      <c r="D9" s="2" t="s">
        <v>24</v>
      </c>
      <c r="E9" t="s">
        <v>25</v>
      </c>
      <c r="F9" s="3" t="s">
        <v>27</v>
      </c>
      <c r="G9" t="s">
        <v>29</v>
      </c>
      <c r="H9" t="s">
        <v>31</v>
      </c>
      <c r="I9" t="s">
        <v>31</v>
      </c>
      <c r="J9" s="5">
        <v>5.55</v>
      </c>
      <c r="K9" s="6">
        <v>3</v>
      </c>
      <c r="L9" s="6">
        <v>2</v>
      </c>
      <c r="M9" s="6">
        <v>2.5</v>
      </c>
      <c r="N9" s="5">
        <v>43.871330952235503</v>
      </c>
      <c r="O9" s="5">
        <v>8.8977642929999998</v>
      </c>
      <c r="P9" s="5">
        <v>5.3444094629999999</v>
      </c>
      <c r="Q9" s="6">
        <v>4</v>
      </c>
      <c r="R9" s="6">
        <v>2</v>
      </c>
      <c r="S9" s="6">
        <v>3.5</v>
      </c>
      <c r="T9" s="5">
        <v>49.204900000000002</v>
      </c>
      <c r="U9" s="5">
        <v>8.0877999999999997</v>
      </c>
      <c r="V9" s="5">
        <v>5.5986000000000002</v>
      </c>
      <c r="W9" s="4">
        <v>0.7494747430021298</v>
      </c>
      <c r="X9" s="4">
        <v>1.4050658063472107E-2</v>
      </c>
    </row>
    <row r="10" spans="1:24" x14ac:dyDescent="0.25">
      <c r="A10">
        <v>2004</v>
      </c>
      <c r="B10" s="2" t="s">
        <v>53</v>
      </c>
      <c r="C10" t="str">
        <f>CONCATENATE(A10,"B", D10, "C", B10, "D", "00")</f>
        <v>2004B00C0424D00</v>
      </c>
      <c r="D10" s="2" t="s">
        <v>24</v>
      </c>
      <c r="E10" t="s">
        <v>25</v>
      </c>
      <c r="F10" s="3" t="s">
        <v>26</v>
      </c>
      <c r="G10" t="s">
        <v>29</v>
      </c>
      <c r="H10" t="s">
        <v>31</v>
      </c>
      <c r="I10" t="s">
        <v>31</v>
      </c>
      <c r="J10" s="5">
        <v>5.52</v>
      </c>
      <c r="K10" s="6">
        <v>3.5</v>
      </c>
      <c r="L10" s="6">
        <v>2.5</v>
      </c>
      <c r="M10" s="6">
        <v>2.5</v>
      </c>
      <c r="N10" s="5">
        <v>46.945612160000003</v>
      </c>
      <c r="O10" s="5">
        <v>9.3199584919999996</v>
      </c>
      <c r="P10" s="5">
        <v>6.3376272189999998</v>
      </c>
      <c r="Q10" s="6">
        <v>4</v>
      </c>
      <c r="R10" s="6">
        <v>2.5</v>
      </c>
      <c r="S10" s="6">
        <v>3</v>
      </c>
      <c r="T10" s="5">
        <v>53.788499999999999</v>
      </c>
      <c r="U10" s="5">
        <v>11.494999999999999</v>
      </c>
      <c r="V10" s="10">
        <v>9.0968999999999998</v>
      </c>
      <c r="W10" s="4">
        <v>0.72874716605530154</v>
      </c>
      <c r="X10" s="4">
        <v>3.3540120421306052E-2</v>
      </c>
    </row>
    <row r="11" spans="1:24" x14ac:dyDescent="0.25">
      <c r="A11">
        <v>2004</v>
      </c>
      <c r="B11" s="2" t="s">
        <v>66</v>
      </c>
      <c r="C11" t="str">
        <f>CONCATENATE(A11,"B", D11, "C", B11, "D", "00")</f>
        <v>2004B00C0438D00</v>
      </c>
      <c r="D11" s="2" t="s">
        <v>24</v>
      </c>
      <c r="E11" t="s">
        <v>25</v>
      </c>
      <c r="F11" s="3" t="s">
        <v>27</v>
      </c>
      <c r="G11" t="s">
        <v>28</v>
      </c>
      <c r="H11" t="s">
        <v>31</v>
      </c>
      <c r="I11" t="s">
        <v>31</v>
      </c>
      <c r="J11" s="5">
        <v>5.63</v>
      </c>
      <c r="K11" s="6">
        <v>3.5</v>
      </c>
      <c r="L11" s="6">
        <v>2.5</v>
      </c>
      <c r="M11" s="6">
        <v>3</v>
      </c>
      <c r="N11" s="5">
        <v>43.183627620000003</v>
      </c>
      <c r="O11" s="5">
        <v>8.4210014900000001</v>
      </c>
      <c r="P11" s="5">
        <v>4.7030672310000003</v>
      </c>
      <c r="Q11" s="6">
        <v>4</v>
      </c>
      <c r="R11" s="6">
        <v>3</v>
      </c>
      <c r="S11" s="6">
        <v>3.5</v>
      </c>
      <c r="T11" s="5">
        <v>50.205199999999998</v>
      </c>
      <c r="U11" s="5">
        <v>10.6084</v>
      </c>
      <c r="V11" s="9">
        <v>8.5411000000000001</v>
      </c>
      <c r="W11" s="4">
        <v>0.7439630505790743</v>
      </c>
      <c r="X11" s="4">
        <v>2.2544127423929739E-2</v>
      </c>
    </row>
    <row r="12" spans="1:24" x14ac:dyDescent="0.25">
      <c r="A12">
        <v>2004</v>
      </c>
      <c r="B12" s="2" t="s">
        <v>70</v>
      </c>
      <c r="C12" t="str">
        <f>CONCATENATE(A12,"B", D12, "C", B12, "D", "00")</f>
        <v>2004B00C0443D00</v>
      </c>
      <c r="D12" s="2" t="s">
        <v>24</v>
      </c>
      <c r="E12" t="s">
        <v>25</v>
      </c>
      <c r="F12" s="3" t="s">
        <v>27</v>
      </c>
      <c r="G12" t="s">
        <v>28</v>
      </c>
      <c r="H12" t="s">
        <v>31</v>
      </c>
      <c r="I12" t="s">
        <v>31</v>
      </c>
      <c r="J12" s="5">
        <v>5.6</v>
      </c>
      <c r="K12" s="6">
        <v>3.5</v>
      </c>
      <c r="L12" s="6">
        <v>1.5</v>
      </c>
      <c r="M12" s="6">
        <v>3</v>
      </c>
      <c r="N12" s="5">
        <v>40.406881579999997</v>
      </c>
      <c r="O12" s="5">
        <v>6.502503827</v>
      </c>
      <c r="P12" s="5">
        <v>2.572347266</v>
      </c>
      <c r="Q12" s="6">
        <v>4</v>
      </c>
      <c r="R12" s="6">
        <v>3</v>
      </c>
      <c r="S12" s="6">
        <v>3</v>
      </c>
      <c r="T12" s="5">
        <v>48.209600000000002</v>
      </c>
      <c r="U12" s="5">
        <v>6.3490000000000002</v>
      </c>
      <c r="V12" s="5">
        <v>4.1859999999999999</v>
      </c>
      <c r="W12" s="4">
        <v>0.74499715384488696</v>
      </c>
      <c r="X12" s="4">
        <v>1.9951033585402587E-2</v>
      </c>
    </row>
    <row r="13" spans="1:24" x14ac:dyDescent="0.25">
      <c r="A13">
        <v>2004</v>
      </c>
      <c r="B13" s="2" t="s">
        <v>84</v>
      </c>
      <c r="C13" t="str">
        <f>CONCATENATE(A13,"B", D13, "C", B13, "D", "00")</f>
        <v>2004B00C0459D00</v>
      </c>
      <c r="D13" s="2" t="s">
        <v>24</v>
      </c>
      <c r="E13" t="s">
        <v>25</v>
      </c>
      <c r="F13" s="3" t="s">
        <v>27</v>
      </c>
      <c r="G13" t="s">
        <v>29</v>
      </c>
      <c r="H13" t="s">
        <v>31</v>
      </c>
      <c r="I13" t="s">
        <v>31</v>
      </c>
      <c r="J13" s="5">
        <v>5.58</v>
      </c>
      <c r="K13" s="6">
        <v>3</v>
      </c>
      <c r="L13" s="6">
        <v>2</v>
      </c>
      <c r="M13" s="6">
        <v>3</v>
      </c>
      <c r="N13" s="5">
        <v>43.208649521059201</v>
      </c>
      <c r="O13" s="5">
        <v>7.2059449559999997</v>
      </c>
      <c r="P13" s="5">
        <v>3.6853651140000001</v>
      </c>
      <c r="Q13" s="6">
        <v>4</v>
      </c>
      <c r="R13" s="6">
        <v>3</v>
      </c>
      <c r="S13" s="6">
        <v>3</v>
      </c>
      <c r="T13" s="5">
        <v>48.095799999999997</v>
      </c>
      <c r="U13" s="5">
        <v>7.94</v>
      </c>
      <c r="V13" s="5">
        <v>4.7967000000000004</v>
      </c>
      <c r="W13" s="4">
        <v>0.74046696640724874</v>
      </c>
      <c r="X13" s="4">
        <v>1.8616507149030553E-2</v>
      </c>
    </row>
    <row r="14" spans="1:24" x14ac:dyDescent="0.25">
      <c r="A14">
        <v>2004</v>
      </c>
      <c r="B14" s="2" t="s">
        <v>54</v>
      </c>
      <c r="C14" t="str">
        <f>CONCATENATE(A14,"B", D14, "C", B14, "D", "00")</f>
        <v>2004B00C0425D00</v>
      </c>
      <c r="D14" s="2" t="s">
        <v>24</v>
      </c>
      <c r="E14" t="s">
        <v>25</v>
      </c>
      <c r="F14" s="3" t="s">
        <v>26</v>
      </c>
      <c r="G14" t="s">
        <v>28</v>
      </c>
      <c r="H14" t="s">
        <v>31</v>
      </c>
      <c r="I14" t="s">
        <v>31</v>
      </c>
      <c r="J14" s="5">
        <v>5.57</v>
      </c>
      <c r="K14" s="6">
        <v>4</v>
      </c>
      <c r="L14" s="6">
        <v>3</v>
      </c>
      <c r="M14" s="6">
        <v>3</v>
      </c>
      <c r="N14" s="5">
        <v>46.362429830000004</v>
      </c>
      <c r="O14" s="5">
        <v>9.4591330290000002</v>
      </c>
      <c r="P14" s="5">
        <v>6.3339910799999997</v>
      </c>
      <c r="Q14" s="6">
        <v>4</v>
      </c>
      <c r="R14" s="6">
        <v>3.5</v>
      </c>
      <c r="S14" s="6">
        <v>3.5</v>
      </c>
      <c r="T14" s="5">
        <v>49.380699999999997</v>
      </c>
      <c r="U14" s="5">
        <v>8.3699999999999992</v>
      </c>
      <c r="V14" s="5">
        <v>5.7324000000000002</v>
      </c>
      <c r="W14" s="4">
        <v>0.72195045964547622</v>
      </c>
      <c r="X14" s="4">
        <v>3.9234851265705445E-2</v>
      </c>
    </row>
    <row r="15" spans="1:24" x14ac:dyDescent="0.25">
      <c r="A15">
        <v>2004</v>
      </c>
      <c r="B15" s="2" t="s">
        <v>51</v>
      </c>
      <c r="C15" t="str">
        <f>CONCATENATE(A15,"B", D15, "C", B15, "D", "00")</f>
        <v>2004B00C0422D00</v>
      </c>
      <c r="D15" s="2" t="s">
        <v>24</v>
      </c>
      <c r="E15" t="s">
        <v>25</v>
      </c>
      <c r="F15" s="3" t="s">
        <v>26</v>
      </c>
      <c r="G15" t="s">
        <v>30</v>
      </c>
      <c r="H15" t="s">
        <v>31</v>
      </c>
      <c r="I15" t="s">
        <v>31</v>
      </c>
      <c r="J15" s="5">
        <v>5.57</v>
      </c>
      <c r="K15" s="6">
        <v>3</v>
      </c>
      <c r="L15" s="6">
        <v>1.5</v>
      </c>
      <c r="M15" s="6">
        <v>2.5</v>
      </c>
      <c r="N15" s="5">
        <v>45.929988989999998</v>
      </c>
      <c r="O15" s="5">
        <v>7.1796873919999999</v>
      </c>
      <c r="P15" s="5">
        <v>3.940992241</v>
      </c>
      <c r="Q15" s="6">
        <v>3.5</v>
      </c>
      <c r="R15" s="6">
        <v>1</v>
      </c>
      <c r="S15" s="6">
        <v>3</v>
      </c>
      <c r="T15" s="5">
        <v>49.2624</v>
      </c>
      <c r="U15" s="5">
        <v>7.8663999999999996</v>
      </c>
      <c r="V15" s="5">
        <v>5.0259</v>
      </c>
      <c r="W15" s="4">
        <v>0.76309115821361218</v>
      </c>
      <c r="X15" s="4">
        <v>8.9846098567192782E-3</v>
      </c>
    </row>
    <row r="16" spans="1:24" x14ac:dyDescent="0.25">
      <c r="A16">
        <v>2004</v>
      </c>
      <c r="B16" s="2" t="s">
        <v>67</v>
      </c>
      <c r="C16" t="str">
        <f>CONCATENATE(A16,"B", D16, "C", B16, "D", "00")</f>
        <v>2004B00C0439D00</v>
      </c>
      <c r="D16" s="2" t="s">
        <v>24</v>
      </c>
      <c r="E16" t="s">
        <v>25</v>
      </c>
      <c r="F16" s="3" t="s">
        <v>27</v>
      </c>
      <c r="G16" t="s">
        <v>28</v>
      </c>
      <c r="H16" t="s">
        <v>31</v>
      </c>
      <c r="I16" t="s">
        <v>31</v>
      </c>
      <c r="J16" s="5">
        <v>5.55</v>
      </c>
      <c r="K16" s="6">
        <v>3.5</v>
      </c>
      <c r="L16" s="6">
        <v>2</v>
      </c>
      <c r="M16" s="6">
        <v>2.5</v>
      </c>
      <c r="N16" s="5">
        <v>42.773790779999999</v>
      </c>
      <c r="O16" s="5">
        <v>7.0572908620000003</v>
      </c>
      <c r="P16" s="5">
        <v>3.359568565</v>
      </c>
      <c r="Q16" s="6">
        <v>3.5</v>
      </c>
      <c r="R16" s="6">
        <v>1</v>
      </c>
      <c r="S16" s="6">
        <v>3</v>
      </c>
      <c r="T16" s="5">
        <v>49.748600000000003</v>
      </c>
      <c r="U16" s="5">
        <v>7.6767000000000003</v>
      </c>
      <c r="V16" s="5">
        <v>5.6231</v>
      </c>
      <c r="W16" s="4">
        <v>0.74331562422514286</v>
      </c>
      <c r="X16" s="4">
        <v>1.974570892164499E-2</v>
      </c>
    </row>
    <row r="17" spans="1:24" x14ac:dyDescent="0.25">
      <c r="A17">
        <v>2004</v>
      </c>
      <c r="B17" s="2" t="s">
        <v>79</v>
      </c>
      <c r="C17" t="str">
        <f>CONCATENATE(A17,"B", D17, "C", B17, "D", "00")</f>
        <v>2004B00C0453D00</v>
      </c>
      <c r="D17" s="2" t="s">
        <v>24</v>
      </c>
      <c r="E17" t="s">
        <v>25</v>
      </c>
      <c r="F17" s="3" t="s">
        <v>27</v>
      </c>
      <c r="G17" t="s">
        <v>30</v>
      </c>
      <c r="H17" t="s">
        <v>31</v>
      </c>
      <c r="I17" t="s">
        <v>31</v>
      </c>
      <c r="J17" s="5">
        <v>5.55</v>
      </c>
      <c r="K17" s="6">
        <v>3</v>
      </c>
      <c r="L17" s="6">
        <v>1.5</v>
      </c>
      <c r="M17" s="6">
        <v>2.5</v>
      </c>
      <c r="N17" s="5">
        <v>43.622825415544398</v>
      </c>
      <c r="O17" s="5">
        <v>7.8730789190000001</v>
      </c>
      <c r="P17" s="5">
        <v>5.2731847470000002</v>
      </c>
      <c r="Q17" s="6">
        <v>3.5</v>
      </c>
      <c r="R17" s="6">
        <v>1</v>
      </c>
      <c r="S17" s="6">
        <v>3</v>
      </c>
      <c r="T17" s="5">
        <v>51.838299999999997</v>
      </c>
      <c r="U17" s="5">
        <v>7.1292</v>
      </c>
      <c r="V17" s="5">
        <v>4.4043000000000001</v>
      </c>
      <c r="W17" s="4">
        <v>0.74542273440445106</v>
      </c>
      <c r="X17" s="4">
        <v>1.0124021866114458E-2</v>
      </c>
    </row>
    <row r="18" spans="1:24" x14ac:dyDescent="0.25">
      <c r="A18">
        <v>2004</v>
      </c>
      <c r="B18" s="2" t="s">
        <v>40</v>
      </c>
      <c r="C18" t="str">
        <f>CONCATENATE(A18,"B", D18, "C", B18, "D", "00")</f>
        <v>2004B00C0409D00</v>
      </c>
      <c r="D18" s="2" t="s">
        <v>24</v>
      </c>
      <c r="E18" t="s">
        <v>25</v>
      </c>
      <c r="F18" s="3" t="s">
        <v>26</v>
      </c>
      <c r="G18" t="s">
        <v>29</v>
      </c>
      <c r="H18" t="s">
        <v>31</v>
      </c>
      <c r="I18" t="s">
        <v>31</v>
      </c>
      <c r="J18" s="5">
        <v>5.56</v>
      </c>
      <c r="K18" s="6">
        <v>3</v>
      </c>
      <c r="L18" s="6">
        <v>2</v>
      </c>
      <c r="M18" s="6">
        <v>2.5</v>
      </c>
      <c r="N18" s="5">
        <v>46.130117849999998</v>
      </c>
      <c r="O18" s="5">
        <v>5.9373230320000001</v>
      </c>
      <c r="P18" s="5">
        <v>3.9421179080000002</v>
      </c>
      <c r="Q18" s="6">
        <v>3.5</v>
      </c>
      <c r="R18" s="6">
        <v>2</v>
      </c>
      <c r="S18" s="6">
        <v>3.5</v>
      </c>
      <c r="T18" s="5">
        <v>50.774799999999999</v>
      </c>
      <c r="U18" s="5">
        <v>6.4367999999999999</v>
      </c>
      <c r="V18" s="5">
        <v>4.6120999999999999</v>
      </c>
      <c r="W18" s="4">
        <v>0.73988618812359508</v>
      </c>
      <c r="X18" s="4">
        <v>2.0559751495879942E-2</v>
      </c>
    </row>
    <row r="19" spans="1:24" x14ac:dyDescent="0.25">
      <c r="A19">
        <v>2004</v>
      </c>
      <c r="B19" s="2" t="s">
        <v>46</v>
      </c>
      <c r="C19" t="str">
        <f>CONCATENATE(A19,"B", D19, "C", B19, "D", "00")</f>
        <v>2004B00C0416D00</v>
      </c>
      <c r="D19" s="2" t="s">
        <v>24</v>
      </c>
      <c r="E19" t="s">
        <v>25</v>
      </c>
      <c r="F19" s="3" t="s">
        <v>26</v>
      </c>
      <c r="G19" t="s">
        <v>29</v>
      </c>
      <c r="H19" t="s">
        <v>31</v>
      </c>
      <c r="I19" t="s">
        <v>31</v>
      </c>
      <c r="J19" s="5">
        <v>5.5</v>
      </c>
      <c r="K19" s="6">
        <v>3</v>
      </c>
      <c r="L19" s="6">
        <v>1.5</v>
      </c>
      <c r="M19" s="6">
        <v>2.5</v>
      </c>
      <c r="N19" s="5">
        <v>50.105358410000001</v>
      </c>
      <c r="O19" s="5">
        <v>6.4698786019999996</v>
      </c>
      <c r="P19" s="5">
        <v>4.8776083989999997</v>
      </c>
      <c r="Q19" s="6">
        <v>3.5</v>
      </c>
      <c r="R19" s="6">
        <v>2</v>
      </c>
      <c r="S19" s="6">
        <v>2.5</v>
      </c>
      <c r="T19" s="5">
        <v>51.5762</v>
      </c>
      <c r="U19" s="5">
        <v>8.5570000000000004</v>
      </c>
      <c r="V19" s="5">
        <v>6.3074000000000003</v>
      </c>
      <c r="W19" s="4">
        <v>0.73879223213964973</v>
      </c>
      <c r="X19" s="4">
        <v>2.3599563156504945E-2</v>
      </c>
    </row>
    <row r="20" spans="1:24" x14ac:dyDescent="0.25">
      <c r="A20">
        <v>2004</v>
      </c>
      <c r="B20" s="2" t="s">
        <v>56</v>
      </c>
      <c r="C20" t="str">
        <f>CONCATENATE(A20,"B", D20, "C", B20, "D", "00")</f>
        <v>2004B00C0427D00</v>
      </c>
      <c r="D20" s="2" t="s">
        <v>24</v>
      </c>
      <c r="E20" t="s">
        <v>25</v>
      </c>
      <c r="F20" s="3" t="s">
        <v>26</v>
      </c>
      <c r="G20" t="s">
        <v>28</v>
      </c>
      <c r="H20" t="s">
        <v>31</v>
      </c>
      <c r="I20" t="s">
        <v>31</v>
      </c>
      <c r="J20" s="5">
        <v>5.51</v>
      </c>
      <c r="K20" s="6">
        <v>3</v>
      </c>
      <c r="L20" s="6">
        <v>1.5</v>
      </c>
      <c r="M20" s="6">
        <v>2.5</v>
      </c>
      <c r="N20" s="5">
        <v>44.128058520000003</v>
      </c>
      <c r="O20" s="5">
        <v>9.464552329</v>
      </c>
      <c r="P20" s="5">
        <v>5.1868637099999999</v>
      </c>
      <c r="Q20" s="6">
        <v>3.5</v>
      </c>
      <c r="R20" s="6">
        <v>2</v>
      </c>
      <c r="S20" s="6">
        <v>3.5</v>
      </c>
      <c r="T20" s="5">
        <v>50.825000000000003</v>
      </c>
      <c r="U20" s="5">
        <v>7.1241000000000003</v>
      </c>
      <c r="V20" s="5">
        <v>4.8391000000000002</v>
      </c>
      <c r="W20" s="4">
        <v>0.73793546154989875</v>
      </c>
      <c r="X20" s="4">
        <v>1.590966951868495E-2</v>
      </c>
    </row>
    <row r="21" spans="1:24" x14ac:dyDescent="0.25">
      <c r="A21">
        <v>2004</v>
      </c>
      <c r="B21" s="2" t="s">
        <v>65</v>
      </c>
      <c r="C21" t="str">
        <f>CONCATENATE(A21,"B", D21, "C", B21, "D", "00")</f>
        <v>2004B00C0437D00</v>
      </c>
      <c r="D21" s="2" t="s">
        <v>24</v>
      </c>
      <c r="E21" t="s">
        <v>25</v>
      </c>
      <c r="F21" s="3" t="s">
        <v>26</v>
      </c>
      <c r="G21" t="s">
        <v>29</v>
      </c>
      <c r="H21" t="s">
        <v>31</v>
      </c>
      <c r="I21" t="s">
        <v>31</v>
      </c>
      <c r="J21" s="5">
        <v>5.54</v>
      </c>
      <c r="K21" s="6">
        <v>3</v>
      </c>
      <c r="L21" s="6">
        <v>1.5</v>
      </c>
      <c r="M21" s="6">
        <v>3</v>
      </c>
      <c r="N21" s="5">
        <v>44.812457739999999</v>
      </c>
      <c r="O21" s="5">
        <v>5.5390811619999996</v>
      </c>
      <c r="P21" s="5">
        <v>3.80294884</v>
      </c>
      <c r="Q21" s="6">
        <v>3.5</v>
      </c>
      <c r="R21" s="6">
        <v>2</v>
      </c>
      <c r="S21" s="6">
        <v>3</v>
      </c>
      <c r="T21" s="5">
        <v>48.8506</v>
      </c>
      <c r="U21" s="5">
        <v>5.6279000000000003</v>
      </c>
      <c r="V21" s="5">
        <v>4.2607999999999997</v>
      </c>
      <c r="W21" s="4">
        <v>0.73768249168295941</v>
      </c>
      <c r="X21" s="4">
        <v>2.1643840765207444E-2</v>
      </c>
    </row>
    <row r="22" spans="1:24" x14ac:dyDescent="0.25">
      <c r="A22">
        <v>2004</v>
      </c>
      <c r="B22" s="2" t="s">
        <v>81</v>
      </c>
      <c r="C22" t="str">
        <f>CONCATENATE(A22,"B", D22, "C", B22, "D", "00")</f>
        <v>2004B00C0456D00</v>
      </c>
      <c r="D22" s="2" t="s">
        <v>24</v>
      </c>
      <c r="E22" t="s">
        <v>25</v>
      </c>
      <c r="F22" s="3" t="s">
        <v>27</v>
      </c>
      <c r="G22" t="s">
        <v>29</v>
      </c>
      <c r="H22" t="s">
        <v>31</v>
      </c>
      <c r="I22" t="s">
        <v>31</v>
      </c>
      <c r="J22" s="5">
        <v>5.57</v>
      </c>
      <c r="K22" s="6">
        <v>3</v>
      </c>
      <c r="L22" s="6">
        <v>2</v>
      </c>
      <c r="M22" s="6">
        <v>3.5</v>
      </c>
      <c r="N22" s="5">
        <v>43.457155057750299</v>
      </c>
      <c r="O22" s="5">
        <v>7.1540346079999999</v>
      </c>
      <c r="P22" s="5">
        <v>4.1328053669999996</v>
      </c>
      <c r="Q22" s="6">
        <v>3.5</v>
      </c>
      <c r="R22" s="6">
        <v>2</v>
      </c>
      <c r="S22" s="6">
        <v>3</v>
      </c>
      <c r="T22" s="5">
        <v>52.114199999999997</v>
      </c>
      <c r="U22" s="5">
        <v>7.1468999999999996</v>
      </c>
      <c r="V22" s="5">
        <v>5.5038999999999998</v>
      </c>
      <c r="W22" s="4">
        <v>0.75000417405787601</v>
      </c>
      <c r="X22" s="4">
        <v>1.2004669396009518E-2</v>
      </c>
    </row>
    <row r="23" spans="1:24" x14ac:dyDescent="0.25">
      <c r="A23">
        <v>2004</v>
      </c>
      <c r="B23" s="2" t="s">
        <v>35</v>
      </c>
      <c r="C23" t="str">
        <f>CONCATENATE(A23,"B", D23, "C", B23, "D", "00")</f>
        <v>2004B00C0404D00</v>
      </c>
      <c r="D23" s="2" t="s">
        <v>24</v>
      </c>
      <c r="E23" t="s">
        <v>25</v>
      </c>
      <c r="F23" s="3" t="s">
        <v>26</v>
      </c>
      <c r="G23" t="s">
        <v>29</v>
      </c>
      <c r="H23" t="s">
        <v>31</v>
      </c>
      <c r="I23" t="s">
        <v>31</v>
      </c>
      <c r="J23" s="5">
        <v>5.5</v>
      </c>
      <c r="K23" s="6">
        <v>3</v>
      </c>
      <c r="L23" s="6">
        <v>2.5</v>
      </c>
      <c r="M23" s="6">
        <v>2.5</v>
      </c>
      <c r="N23" s="5">
        <v>48.806004270000003</v>
      </c>
      <c r="O23" s="5">
        <v>8.0983883129999992</v>
      </c>
      <c r="P23" s="5">
        <v>5.66298835</v>
      </c>
      <c r="Q23" s="6">
        <v>3.5</v>
      </c>
      <c r="R23" s="6">
        <v>2.5</v>
      </c>
      <c r="S23" s="6">
        <v>3.5</v>
      </c>
      <c r="T23" s="5">
        <v>50.8157</v>
      </c>
      <c r="U23" s="5">
        <v>9.2478999999999996</v>
      </c>
      <c r="V23" s="5">
        <v>6.7272999999999996</v>
      </c>
      <c r="W23" s="4">
        <v>0.73003215053633941</v>
      </c>
      <c r="X23" s="4">
        <v>3.2529825163731131E-2</v>
      </c>
    </row>
    <row r="24" spans="1:24" x14ac:dyDescent="0.25">
      <c r="A24">
        <v>2004</v>
      </c>
      <c r="B24" s="2" t="s">
        <v>59</v>
      </c>
      <c r="C24" t="str">
        <f>CONCATENATE(A24,"B", D24, "C", B24, "D", "00")</f>
        <v>2004B00C0431D00</v>
      </c>
      <c r="D24" s="2" t="s">
        <v>24</v>
      </c>
      <c r="E24" t="s">
        <v>25</v>
      </c>
      <c r="F24" s="3" t="s">
        <v>27</v>
      </c>
      <c r="G24" t="s">
        <v>28</v>
      </c>
      <c r="H24" t="s">
        <v>31</v>
      </c>
      <c r="I24" t="s">
        <v>31</v>
      </c>
      <c r="J24" s="5">
        <v>5.54</v>
      </c>
      <c r="K24" s="6">
        <v>2.5</v>
      </c>
      <c r="L24" s="6">
        <v>2</v>
      </c>
      <c r="M24" s="6">
        <v>3</v>
      </c>
      <c r="N24" s="5">
        <v>46.21222942</v>
      </c>
      <c r="O24" s="5">
        <v>7.4081843909999998</v>
      </c>
      <c r="P24" s="5">
        <v>4.5597923040000001</v>
      </c>
      <c r="Q24" s="6">
        <v>3.5</v>
      </c>
      <c r="R24" s="6">
        <v>2.5</v>
      </c>
      <c r="S24" s="6">
        <v>3</v>
      </c>
      <c r="T24" s="5">
        <v>54.589100000000002</v>
      </c>
      <c r="U24" s="5">
        <v>9.8986000000000001</v>
      </c>
      <c r="V24" s="9">
        <v>8.3351000000000006</v>
      </c>
      <c r="W24" s="4">
        <v>0.72954539732520973</v>
      </c>
      <c r="X24" s="4">
        <v>3.4735697406174479E-2</v>
      </c>
    </row>
    <row r="25" spans="1:24" x14ac:dyDescent="0.25">
      <c r="A25">
        <v>2004</v>
      </c>
      <c r="B25" s="2" t="s">
        <v>64</v>
      </c>
      <c r="C25" t="str">
        <f>CONCATENATE(A25,"B", D25, "C", B25, "D", "00")</f>
        <v>2004B00C0436D00</v>
      </c>
      <c r="D25" s="2" t="s">
        <v>24</v>
      </c>
      <c r="E25" t="s">
        <v>25</v>
      </c>
      <c r="F25" s="3" t="s">
        <v>27</v>
      </c>
      <c r="G25" t="s">
        <v>29</v>
      </c>
      <c r="H25" t="s">
        <v>31</v>
      </c>
      <c r="I25" t="s">
        <v>31</v>
      </c>
      <c r="J25" s="5">
        <v>5.53</v>
      </c>
      <c r="K25" s="6">
        <v>3.5</v>
      </c>
      <c r="L25" s="6">
        <v>1.5</v>
      </c>
      <c r="M25" s="6">
        <v>3</v>
      </c>
      <c r="N25" s="5">
        <v>44.865873550000003</v>
      </c>
      <c r="O25" s="5">
        <v>7.9745472529999999</v>
      </c>
      <c r="P25" s="5">
        <v>4.5323028150000004</v>
      </c>
      <c r="Q25" s="6">
        <v>3.5</v>
      </c>
      <c r="R25" s="6">
        <v>2.5</v>
      </c>
      <c r="S25" s="6">
        <v>3</v>
      </c>
      <c r="T25" s="5">
        <v>52.2072</v>
      </c>
      <c r="U25" s="5">
        <v>9.6933000000000007</v>
      </c>
      <c r="V25" s="5">
        <v>7.3711000000000002</v>
      </c>
      <c r="W25" s="4">
        <v>0.75003489560012571</v>
      </c>
      <c r="X25" s="4">
        <v>2.0149950872539846E-2</v>
      </c>
    </row>
    <row r="26" spans="1:24" x14ac:dyDescent="0.25">
      <c r="A26">
        <v>2004</v>
      </c>
      <c r="B26" s="2" t="s">
        <v>73</v>
      </c>
      <c r="C26" t="str">
        <f>CONCATENATE(A26,"B", D26, "C", B26, "D", "00")</f>
        <v>2004B00C0446D00</v>
      </c>
      <c r="D26" s="2" t="s">
        <v>24</v>
      </c>
      <c r="E26" t="s">
        <v>25</v>
      </c>
      <c r="F26" s="3" t="s">
        <v>27</v>
      </c>
      <c r="G26" t="s">
        <v>29</v>
      </c>
      <c r="H26" t="s">
        <v>31</v>
      </c>
      <c r="I26" t="s">
        <v>31</v>
      </c>
      <c r="J26" s="5">
        <v>5.58</v>
      </c>
      <c r="K26" s="6">
        <v>3.5</v>
      </c>
      <c r="L26" s="6">
        <v>2</v>
      </c>
      <c r="M26" s="6">
        <v>2.5</v>
      </c>
      <c r="N26" s="5">
        <v>44.119836488926602</v>
      </c>
      <c r="O26" s="5">
        <v>8.1321606460000009</v>
      </c>
      <c r="P26" s="5">
        <v>4.9155284750000003</v>
      </c>
      <c r="Q26" s="6">
        <v>3.5</v>
      </c>
      <c r="R26" s="6">
        <v>2.5</v>
      </c>
      <c r="S26" s="6">
        <v>3</v>
      </c>
      <c r="T26" s="5">
        <v>49.413499999999999</v>
      </c>
      <c r="U26" s="5">
        <v>9.9414999999999996</v>
      </c>
      <c r="V26" s="5">
        <v>7.4093999999999998</v>
      </c>
      <c r="W26" s="4">
        <v>0.73854688225497478</v>
      </c>
      <c r="X26" s="4">
        <v>2.1434393600608434E-2</v>
      </c>
    </row>
    <row r="27" spans="1:24" x14ac:dyDescent="0.25">
      <c r="A27">
        <v>2004</v>
      </c>
      <c r="B27" s="2" t="s">
        <v>77</v>
      </c>
      <c r="C27" t="str">
        <f>CONCATENATE(A27,"B", D27, "C", B27, "D", "00")</f>
        <v>2004B00C0451D00</v>
      </c>
      <c r="D27" s="2" t="s">
        <v>24</v>
      </c>
      <c r="E27" t="s">
        <v>25</v>
      </c>
      <c r="F27" s="3" t="s">
        <v>27</v>
      </c>
      <c r="G27" t="s">
        <v>28</v>
      </c>
      <c r="H27" t="s">
        <v>31</v>
      </c>
      <c r="I27" t="s">
        <v>31</v>
      </c>
      <c r="J27" s="5">
        <v>5.58</v>
      </c>
      <c r="K27" s="6">
        <v>3</v>
      </c>
      <c r="L27" s="6">
        <v>2</v>
      </c>
      <c r="M27" s="6">
        <v>2.5</v>
      </c>
      <c r="N27" s="5">
        <v>43.788495773338397</v>
      </c>
      <c r="O27" s="5">
        <v>7.0931407159999997</v>
      </c>
      <c r="P27" s="5">
        <v>3.8733044350000001</v>
      </c>
      <c r="Q27" s="6">
        <v>3.5</v>
      </c>
      <c r="R27" s="6">
        <v>2.5</v>
      </c>
      <c r="S27" s="6">
        <v>2.5</v>
      </c>
      <c r="T27" s="5">
        <v>50.765500000000003</v>
      </c>
      <c r="U27" s="5">
        <v>7.0228000000000002</v>
      </c>
      <c r="V27" s="5">
        <v>5.1928000000000001</v>
      </c>
      <c r="W27" s="4">
        <v>0.75152272525819008</v>
      </c>
      <c r="X27" s="4">
        <v>1.4332455326335997E-2</v>
      </c>
    </row>
    <row r="28" spans="1:24" x14ac:dyDescent="0.25">
      <c r="A28">
        <v>2004</v>
      </c>
      <c r="B28" s="2" t="s">
        <v>80</v>
      </c>
      <c r="C28" t="str">
        <f>CONCATENATE(A28,"B", D28, "C", B28, "D", "00")</f>
        <v>2004B00C0454D00</v>
      </c>
      <c r="D28" s="2" t="s">
        <v>24</v>
      </c>
      <c r="E28" t="s">
        <v>25</v>
      </c>
      <c r="F28" s="3" t="s">
        <v>27</v>
      </c>
      <c r="G28" t="s">
        <v>28</v>
      </c>
      <c r="H28" t="s">
        <v>31</v>
      </c>
      <c r="I28" t="s">
        <v>31</v>
      </c>
      <c r="J28" s="5">
        <v>5.56</v>
      </c>
      <c r="K28" s="6">
        <v>3</v>
      </c>
      <c r="L28" s="6">
        <v>1.5</v>
      </c>
      <c r="M28" s="6">
        <v>3</v>
      </c>
      <c r="N28" s="9">
        <v>43.539990236647299</v>
      </c>
      <c r="O28" s="5">
        <v>8.4922069639999993</v>
      </c>
      <c r="P28" s="5">
        <v>6.7062676860000003</v>
      </c>
      <c r="Q28" s="6">
        <v>3.5</v>
      </c>
      <c r="R28" s="6">
        <v>2.5</v>
      </c>
      <c r="S28" s="6">
        <v>3</v>
      </c>
      <c r="T28" s="5">
        <v>52.051400000000001</v>
      </c>
      <c r="U28" s="5">
        <v>7.5487000000000002</v>
      </c>
      <c r="V28" s="5">
        <v>5.9515000000000002</v>
      </c>
      <c r="W28" s="4">
        <v>0.73917279197577601</v>
      </c>
      <c r="X28" s="4">
        <v>2.6636795260907852E-2</v>
      </c>
    </row>
    <row r="29" spans="1:24" x14ac:dyDescent="0.25">
      <c r="A29">
        <v>2004</v>
      </c>
      <c r="B29" s="2" t="s">
        <v>85</v>
      </c>
      <c r="C29" t="str">
        <f>CONCATENATE(A29,"B", D29, "C", B29, "D", "00")</f>
        <v>2004B00C0461D00</v>
      </c>
      <c r="D29" s="2" t="s">
        <v>24</v>
      </c>
      <c r="E29" t="s">
        <v>25</v>
      </c>
      <c r="F29" s="3" t="s">
        <v>27</v>
      </c>
      <c r="G29" t="s">
        <v>28</v>
      </c>
      <c r="H29" t="s">
        <v>31</v>
      </c>
      <c r="I29" t="s">
        <v>31</v>
      </c>
      <c r="J29" s="5">
        <v>5.53</v>
      </c>
      <c r="K29" s="6">
        <v>3</v>
      </c>
      <c r="L29" s="6">
        <v>2</v>
      </c>
      <c r="M29" s="6">
        <v>3</v>
      </c>
      <c r="N29" s="5">
        <v>43.125814342162101</v>
      </c>
      <c r="O29" s="5">
        <v>7.9040424619999996</v>
      </c>
      <c r="P29" s="5">
        <v>5.0337167430000003</v>
      </c>
      <c r="Q29" s="6">
        <v>3.5</v>
      </c>
      <c r="R29" s="6">
        <v>2.5</v>
      </c>
      <c r="S29" s="6">
        <v>2.5</v>
      </c>
      <c r="T29" s="5">
        <v>55.988500000000002</v>
      </c>
      <c r="U29" s="5">
        <v>6.2293000000000003</v>
      </c>
      <c r="V29" s="5">
        <v>5.2647000000000004</v>
      </c>
      <c r="W29" s="4">
        <v>0.74219506841704486</v>
      </c>
      <c r="X29" s="4">
        <v>1.5688134263229275E-2</v>
      </c>
    </row>
    <row r="30" spans="1:24" x14ac:dyDescent="0.25">
      <c r="A30">
        <v>2004</v>
      </c>
      <c r="B30" s="2" t="s">
        <v>32</v>
      </c>
      <c r="C30" t="str">
        <f>CONCATENATE(A30,"B", D30, "C", B30, "D", "00")</f>
        <v>2004B00C0401D00</v>
      </c>
      <c r="D30" s="2" t="s">
        <v>24</v>
      </c>
      <c r="E30" t="s">
        <v>25</v>
      </c>
      <c r="F30" s="3" t="s">
        <v>26</v>
      </c>
      <c r="G30" t="s">
        <v>28</v>
      </c>
      <c r="H30" t="s">
        <v>31</v>
      </c>
      <c r="I30" t="s">
        <v>31</v>
      </c>
      <c r="J30" s="5">
        <v>5.52</v>
      </c>
      <c r="K30" s="6">
        <v>3.5</v>
      </c>
      <c r="L30" s="6">
        <v>2.5</v>
      </c>
      <c r="M30" s="6">
        <v>3</v>
      </c>
      <c r="N30" s="5">
        <v>46.19</v>
      </c>
      <c r="O30" s="5">
        <v>8.4905335179999994</v>
      </c>
      <c r="P30" s="5">
        <v>4.9869202929999998</v>
      </c>
      <c r="Q30" s="6">
        <v>3.5</v>
      </c>
      <c r="R30" s="6">
        <v>3</v>
      </c>
      <c r="S30" s="6">
        <v>3.5</v>
      </c>
      <c r="T30" s="5">
        <v>52.747500000000002</v>
      </c>
      <c r="U30" s="5">
        <v>8.1747999999999994</v>
      </c>
      <c r="V30" s="5">
        <v>5.9428999999999998</v>
      </c>
      <c r="W30" s="4">
        <v>0.73604863191776815</v>
      </c>
      <c r="X30" s="4">
        <v>2.6704777860876362E-2</v>
      </c>
    </row>
    <row r="31" spans="1:24" x14ac:dyDescent="0.25">
      <c r="A31">
        <v>2004</v>
      </c>
      <c r="B31" s="2" t="s">
        <v>43</v>
      </c>
      <c r="C31" t="str">
        <f>CONCATENATE(A31,"B", D31, "C", B31, "D", "00")</f>
        <v>2004B00C0413D00</v>
      </c>
      <c r="D31" s="2" t="s">
        <v>24</v>
      </c>
      <c r="E31" t="s">
        <v>25</v>
      </c>
      <c r="F31" s="3" t="s">
        <v>26</v>
      </c>
      <c r="G31" t="s">
        <v>28</v>
      </c>
      <c r="H31" t="s">
        <v>31</v>
      </c>
      <c r="I31" t="s">
        <v>31</v>
      </c>
      <c r="J31" s="5">
        <v>5.59</v>
      </c>
      <c r="K31" s="6">
        <v>3</v>
      </c>
      <c r="L31" s="6">
        <v>2</v>
      </c>
      <c r="M31" s="6">
        <v>3</v>
      </c>
      <c r="N31" s="5">
        <v>42.61672566</v>
      </c>
      <c r="O31" s="5">
        <v>7.3782138850000001</v>
      </c>
      <c r="P31" s="5">
        <v>4.0836840490000004</v>
      </c>
      <c r="Q31" s="6">
        <v>3.5</v>
      </c>
      <c r="R31" s="6">
        <v>3</v>
      </c>
      <c r="S31" s="6">
        <v>3.5</v>
      </c>
      <c r="T31" s="5">
        <v>50.076799999999999</v>
      </c>
      <c r="U31" s="5">
        <v>10.434699999999999</v>
      </c>
      <c r="V31" s="5">
        <v>7.7670000000000003</v>
      </c>
      <c r="W31" s="4">
        <v>0.72207466521176622</v>
      </c>
      <c r="X31" s="4">
        <v>4.4531951761136876E-2</v>
      </c>
    </row>
    <row r="32" spans="1:24" x14ac:dyDescent="0.25">
      <c r="A32">
        <v>2004</v>
      </c>
      <c r="B32" s="2" t="s">
        <v>52</v>
      </c>
      <c r="C32" t="str">
        <f>CONCATENATE(A32,"B", D32, "C", B32, "D", "00")</f>
        <v>2004B00C0423D00</v>
      </c>
      <c r="D32" s="2" t="s">
        <v>24</v>
      </c>
      <c r="E32" t="s">
        <v>25</v>
      </c>
      <c r="F32" s="3" t="s">
        <v>26</v>
      </c>
      <c r="G32" t="s">
        <v>28</v>
      </c>
      <c r="H32" t="s">
        <v>31</v>
      </c>
      <c r="I32" t="s">
        <v>31</v>
      </c>
      <c r="J32" s="5">
        <v>5.63</v>
      </c>
      <c r="K32" s="6">
        <v>3</v>
      </c>
      <c r="L32" s="6">
        <v>2</v>
      </c>
      <c r="M32" s="6">
        <v>2</v>
      </c>
      <c r="N32" s="5">
        <v>47.722572739999997</v>
      </c>
      <c r="O32" s="5">
        <v>7.4548752069999997</v>
      </c>
      <c r="P32" s="5">
        <v>5.4488751799999999</v>
      </c>
      <c r="Q32" s="6">
        <v>3.5</v>
      </c>
      <c r="R32" s="6">
        <v>3</v>
      </c>
      <c r="S32" s="6">
        <v>2.5</v>
      </c>
      <c r="T32" s="9">
        <v>50.1494</v>
      </c>
      <c r="U32" s="5">
        <v>6.2645999999999997</v>
      </c>
      <c r="V32" s="5">
        <v>5.0111999999999997</v>
      </c>
      <c r="W32" s="4">
        <v>0.7285516651517645</v>
      </c>
      <c r="X32" s="4">
        <v>2.7291712165330034E-2</v>
      </c>
    </row>
    <row r="33" spans="1:24" x14ac:dyDescent="0.25">
      <c r="A33">
        <v>2004</v>
      </c>
      <c r="B33" s="2" t="s">
        <v>55</v>
      </c>
      <c r="C33" t="str">
        <f>CONCATENATE(A33,"B", D33, "C", B33, "D", "00")</f>
        <v>2004B00C0426D00</v>
      </c>
      <c r="D33" s="2" t="s">
        <v>24</v>
      </c>
      <c r="E33" t="s">
        <v>25</v>
      </c>
      <c r="F33" s="3" t="s">
        <v>26</v>
      </c>
      <c r="G33" t="s">
        <v>29</v>
      </c>
      <c r="H33" t="s">
        <v>31</v>
      </c>
      <c r="I33" t="s">
        <v>31</v>
      </c>
      <c r="J33" s="5">
        <v>5.54</v>
      </c>
      <c r="K33" s="6">
        <v>3</v>
      </c>
      <c r="L33" s="6">
        <v>2</v>
      </c>
      <c r="M33" s="6">
        <v>3</v>
      </c>
      <c r="N33" s="5">
        <v>46.962678769999997</v>
      </c>
      <c r="O33" s="5">
        <v>6.6962322109999999</v>
      </c>
      <c r="P33" s="5">
        <v>5.5157846460000002</v>
      </c>
      <c r="Q33" s="6">
        <v>3.5</v>
      </c>
      <c r="R33" s="6">
        <v>3</v>
      </c>
      <c r="S33" s="6">
        <v>3.5</v>
      </c>
      <c r="T33" s="5">
        <v>54.276499999999999</v>
      </c>
      <c r="U33" s="5">
        <v>5.8456999999999999</v>
      </c>
      <c r="V33" s="5">
        <v>5.4188000000000001</v>
      </c>
      <c r="W33" s="4">
        <v>0.73289789983538989</v>
      </c>
      <c r="X33" s="4">
        <v>3.5541346200906467E-2</v>
      </c>
    </row>
    <row r="34" spans="1:24" x14ac:dyDescent="0.25">
      <c r="A34">
        <v>2004</v>
      </c>
      <c r="B34" s="2" t="s">
        <v>74</v>
      </c>
      <c r="C34" t="str">
        <f>CONCATENATE(A34,"B", D34, "C", B34, "D", "00")</f>
        <v>2004B00C0447D00</v>
      </c>
      <c r="D34" s="2" t="s">
        <v>24</v>
      </c>
      <c r="E34" t="s">
        <v>25</v>
      </c>
      <c r="F34" s="3" t="s">
        <v>27</v>
      </c>
      <c r="G34" t="s">
        <v>30</v>
      </c>
      <c r="H34" t="s">
        <v>31</v>
      </c>
      <c r="I34" t="s">
        <v>31</v>
      </c>
      <c r="J34" s="5">
        <v>5.58</v>
      </c>
      <c r="K34" s="6">
        <v>3</v>
      </c>
      <c r="L34" s="6">
        <v>1.5</v>
      </c>
      <c r="M34" s="6">
        <v>3</v>
      </c>
      <c r="N34" s="5">
        <v>44.037001310029503</v>
      </c>
      <c r="O34" s="5">
        <v>6.4516213069999999</v>
      </c>
      <c r="P34" s="5">
        <v>5.1939365239999997</v>
      </c>
      <c r="Q34" s="6">
        <v>3.5</v>
      </c>
      <c r="R34" s="6">
        <v>3</v>
      </c>
      <c r="S34" s="6">
        <v>3.5</v>
      </c>
      <c r="T34" s="5">
        <v>49.370899999999999</v>
      </c>
      <c r="U34" s="5">
        <v>6.2298999999999998</v>
      </c>
      <c r="V34" s="5">
        <v>4.4930000000000003</v>
      </c>
      <c r="W34" s="4">
        <v>0.73937767281986766</v>
      </c>
      <c r="X34" s="4">
        <v>2.4923408016873011E-2</v>
      </c>
    </row>
    <row r="35" spans="1:24" x14ac:dyDescent="0.25">
      <c r="A35">
        <v>2004</v>
      </c>
      <c r="B35" s="2" t="s">
        <v>38</v>
      </c>
      <c r="C35" t="str">
        <f>CONCATENATE(A35,"B", D35, "C", B35, "D", "00")</f>
        <v>2004B00C0407D00</v>
      </c>
      <c r="D35" s="2" t="s">
        <v>24</v>
      </c>
      <c r="E35" t="s">
        <v>25</v>
      </c>
      <c r="F35" s="3" t="s">
        <v>26</v>
      </c>
      <c r="G35" t="s">
        <v>30</v>
      </c>
      <c r="H35" t="s">
        <v>31</v>
      </c>
      <c r="I35" t="s">
        <v>31</v>
      </c>
      <c r="J35" s="5">
        <v>5.56</v>
      </c>
      <c r="K35" s="6">
        <v>3.5</v>
      </c>
      <c r="L35" s="6">
        <v>2</v>
      </c>
      <c r="M35" s="6">
        <v>3</v>
      </c>
      <c r="N35" s="5">
        <v>45.305096820000003</v>
      </c>
      <c r="O35" s="5">
        <v>5.9432988250000003</v>
      </c>
      <c r="P35" s="5">
        <v>3.7536479100000002</v>
      </c>
      <c r="Q35" s="6">
        <v>3.5</v>
      </c>
      <c r="R35" s="6">
        <v>3.5</v>
      </c>
      <c r="S35" s="6">
        <v>3.5</v>
      </c>
      <c r="T35" s="5">
        <v>51.316499999999998</v>
      </c>
      <c r="U35" s="5">
        <v>6.1631999999999998</v>
      </c>
      <c r="V35" s="5">
        <v>5.7066999999999997</v>
      </c>
      <c r="W35" s="4">
        <v>0.74393469783519972</v>
      </c>
      <c r="X35" s="4">
        <v>1.4666092856446008E-2</v>
      </c>
    </row>
    <row r="36" spans="1:24" x14ac:dyDescent="0.25">
      <c r="A36">
        <v>2004</v>
      </c>
      <c r="B36" s="2" t="s">
        <v>42</v>
      </c>
      <c r="C36" t="str">
        <f>CONCATENATE(A36,"B", D36, "C", B36, "D", "00")</f>
        <v>2004B00C0412D00</v>
      </c>
      <c r="D36" s="2" t="s">
        <v>24</v>
      </c>
      <c r="E36" t="s">
        <v>25</v>
      </c>
      <c r="F36" s="3" t="s">
        <v>26</v>
      </c>
      <c r="G36" t="s">
        <v>29</v>
      </c>
      <c r="H36" t="s">
        <v>31</v>
      </c>
      <c r="I36" t="s">
        <v>31</v>
      </c>
      <c r="J36" s="5">
        <v>5.63</v>
      </c>
      <c r="K36" s="6">
        <v>3.5</v>
      </c>
      <c r="L36" s="6">
        <v>2</v>
      </c>
      <c r="M36" s="6">
        <v>3.5</v>
      </c>
      <c r="N36" s="5">
        <v>44.94442111</v>
      </c>
      <c r="O36" s="5">
        <v>7.2214221810000003</v>
      </c>
      <c r="P36" s="5">
        <v>4.8965964030000002</v>
      </c>
      <c r="Q36" s="6">
        <v>3.5</v>
      </c>
      <c r="R36" s="6">
        <v>3.5</v>
      </c>
      <c r="S36" s="6">
        <v>3</v>
      </c>
      <c r="T36" s="5">
        <v>48.319200000000002</v>
      </c>
      <c r="U36" s="5">
        <v>7.2210999999999999</v>
      </c>
      <c r="V36" s="5">
        <v>5.7548000000000004</v>
      </c>
      <c r="W36" s="4">
        <v>0.74123023170021196</v>
      </c>
      <c r="X36" s="4">
        <v>2.4691796999170772E-2</v>
      </c>
    </row>
    <row r="37" spans="1:24" x14ac:dyDescent="0.25">
      <c r="A37">
        <v>2004</v>
      </c>
      <c r="B37" s="2" t="s">
        <v>44</v>
      </c>
      <c r="C37" t="str">
        <f>CONCATENATE(A37,"B", D37, "C", B37, "D", "00")</f>
        <v>2004B00C0414D00</v>
      </c>
      <c r="D37" s="2" t="s">
        <v>24</v>
      </c>
      <c r="E37" t="s">
        <v>25</v>
      </c>
      <c r="F37" s="3" t="s">
        <v>26</v>
      </c>
      <c r="G37" t="s">
        <v>30</v>
      </c>
      <c r="H37" t="s">
        <v>31</v>
      </c>
      <c r="I37" t="s">
        <v>31</v>
      </c>
      <c r="J37" s="5">
        <v>5.59</v>
      </c>
      <c r="K37" s="6">
        <v>3</v>
      </c>
      <c r="L37" s="6">
        <v>1.5</v>
      </c>
      <c r="M37" s="6">
        <v>3</v>
      </c>
      <c r="N37" s="5">
        <v>43.896911160000002</v>
      </c>
      <c r="O37" s="5">
        <v>3.899278995</v>
      </c>
      <c r="P37" s="5">
        <v>2.380574593</v>
      </c>
      <c r="Q37" s="6">
        <v>3</v>
      </c>
      <c r="R37" s="6">
        <v>1</v>
      </c>
      <c r="S37" s="6">
        <v>2.5</v>
      </c>
      <c r="T37" s="5">
        <v>55.260300000000001</v>
      </c>
      <c r="U37" s="5">
        <v>5.0566000000000004</v>
      </c>
      <c r="V37" s="5">
        <v>5.1540999999999997</v>
      </c>
      <c r="W37" s="4">
        <v>0.75005372118867308</v>
      </c>
      <c r="X37" s="4">
        <v>6.512707708151347E-3</v>
      </c>
    </row>
    <row r="38" spans="1:24" x14ac:dyDescent="0.25">
      <c r="A38">
        <v>2004</v>
      </c>
      <c r="B38" s="2" t="s">
        <v>57</v>
      </c>
      <c r="C38" t="str">
        <f>CONCATENATE(A38,"B", D38, "C", B38, "D", "00")</f>
        <v>2004B00C0428D00</v>
      </c>
      <c r="D38" s="2" t="s">
        <v>24</v>
      </c>
      <c r="E38" t="s">
        <v>25</v>
      </c>
      <c r="F38" s="3" t="s">
        <v>26</v>
      </c>
      <c r="G38" t="s">
        <v>30</v>
      </c>
      <c r="H38" t="s">
        <v>31</v>
      </c>
      <c r="I38" t="s">
        <v>31</v>
      </c>
      <c r="J38" s="5">
        <v>5.48</v>
      </c>
      <c r="K38" s="6">
        <v>2.5</v>
      </c>
      <c r="L38" s="6">
        <v>1.5</v>
      </c>
      <c r="M38" s="6">
        <v>2.5</v>
      </c>
      <c r="N38" s="5">
        <v>45.307865479999997</v>
      </c>
      <c r="O38" s="5">
        <v>7.809852566</v>
      </c>
      <c r="P38" s="5">
        <v>5.1149173899999996</v>
      </c>
      <c r="Q38" s="6">
        <v>3</v>
      </c>
      <c r="R38" s="6">
        <v>1</v>
      </c>
      <c r="S38" s="6">
        <v>3</v>
      </c>
      <c r="T38" s="5">
        <v>58.503900000000002</v>
      </c>
      <c r="U38" s="5">
        <v>8.9482999999999997</v>
      </c>
      <c r="V38" s="5">
        <v>7.8403999999999998</v>
      </c>
      <c r="W38" s="4">
        <v>0.74026002418734449</v>
      </c>
      <c r="X38" s="4">
        <v>1.0226036224575958E-2</v>
      </c>
    </row>
    <row r="39" spans="1:24" x14ac:dyDescent="0.25">
      <c r="A39">
        <v>2004</v>
      </c>
      <c r="B39" s="2" t="s">
        <v>68</v>
      </c>
      <c r="C39" t="str">
        <f>CONCATENATE(A39,"B", D39, "C", B39, "D", "00")</f>
        <v>2004B00C0441D00</v>
      </c>
      <c r="D39" s="2" t="s">
        <v>24</v>
      </c>
      <c r="E39" t="s">
        <v>25</v>
      </c>
      <c r="F39" s="3" t="s">
        <v>27</v>
      </c>
      <c r="G39" t="s">
        <v>29</v>
      </c>
      <c r="H39" t="s">
        <v>31</v>
      </c>
      <c r="I39" t="s">
        <v>31</v>
      </c>
      <c r="J39" s="5">
        <v>5.53</v>
      </c>
      <c r="K39" s="6">
        <v>3.5</v>
      </c>
      <c r="L39" s="6">
        <v>1.5</v>
      </c>
      <c r="M39" s="6">
        <v>3</v>
      </c>
      <c r="N39" s="5">
        <v>43.185113010000002</v>
      </c>
      <c r="O39" s="5">
        <v>6.2505653590000003</v>
      </c>
      <c r="P39" s="5">
        <v>3.8396530630000001</v>
      </c>
      <c r="Q39" s="6">
        <v>3</v>
      </c>
      <c r="R39" s="6">
        <v>1</v>
      </c>
      <c r="S39" s="6">
        <v>3</v>
      </c>
      <c r="T39" s="5">
        <v>49.520400000000002</v>
      </c>
      <c r="U39" s="5">
        <v>5.1943000000000001</v>
      </c>
      <c r="V39" s="5">
        <v>4.4024999999999999</v>
      </c>
      <c r="W39" s="4">
        <v>0.74264627773281044</v>
      </c>
      <c r="X39" s="4">
        <v>8.8249530057649059E-3</v>
      </c>
    </row>
    <row r="40" spans="1:24" x14ac:dyDescent="0.25">
      <c r="A40">
        <v>2004</v>
      </c>
      <c r="B40" s="2" t="s">
        <v>78</v>
      </c>
      <c r="C40" t="str">
        <f>CONCATENATE(A40,"B", D40, "C", B40, "D", "00")</f>
        <v>2004B00C0452D00</v>
      </c>
      <c r="D40" s="2" t="s">
        <v>24</v>
      </c>
      <c r="E40" t="s">
        <v>25</v>
      </c>
      <c r="F40" s="3" t="s">
        <v>27</v>
      </c>
      <c r="G40" t="s">
        <v>30</v>
      </c>
      <c r="H40" t="s">
        <v>31</v>
      </c>
      <c r="I40" t="s">
        <v>31</v>
      </c>
      <c r="J40" s="5">
        <v>5.53</v>
      </c>
      <c r="K40" s="8">
        <v>2.5</v>
      </c>
      <c r="L40" s="6">
        <v>1.5</v>
      </c>
      <c r="M40" s="6">
        <v>2.5</v>
      </c>
      <c r="N40" s="5">
        <v>43.705660594441397</v>
      </c>
      <c r="O40" s="5">
        <v>5.6964587719999997</v>
      </c>
      <c r="P40" s="5">
        <v>4.3795428630000002</v>
      </c>
      <c r="Q40" s="8">
        <v>3</v>
      </c>
      <c r="R40" s="6">
        <v>1</v>
      </c>
      <c r="S40" s="6">
        <v>3</v>
      </c>
      <c r="T40" s="5">
        <v>51.6751</v>
      </c>
      <c r="U40" s="5">
        <v>6.6208999999999998</v>
      </c>
      <c r="V40" s="5">
        <v>4.8975999999999997</v>
      </c>
      <c r="W40" s="4">
        <v>0.74545614718030262</v>
      </c>
      <c r="X40" s="4">
        <v>1.3125470432930313E-2</v>
      </c>
    </row>
    <row r="41" spans="1:24" x14ac:dyDescent="0.25">
      <c r="A41">
        <v>2004</v>
      </c>
      <c r="B41" s="2" t="s">
        <v>63</v>
      </c>
      <c r="C41" t="str">
        <f>CONCATENATE(A41,"B", D41, "C", B41, "D", "00")</f>
        <v>2004B00C0435D00</v>
      </c>
      <c r="D41" s="2" t="s">
        <v>24</v>
      </c>
      <c r="E41" t="s">
        <v>25</v>
      </c>
      <c r="F41" s="3" t="s">
        <v>27</v>
      </c>
      <c r="G41" t="s">
        <v>30</v>
      </c>
      <c r="H41" t="s">
        <v>31</v>
      </c>
      <c r="I41" t="s">
        <v>31</v>
      </c>
      <c r="J41" s="5">
        <v>5.54</v>
      </c>
      <c r="K41" s="6">
        <v>3</v>
      </c>
      <c r="L41" s="6">
        <v>2</v>
      </c>
      <c r="M41" s="6">
        <v>2.5</v>
      </c>
      <c r="N41" s="5">
        <v>48.812197980000001</v>
      </c>
      <c r="O41" s="5">
        <v>8.1406535380000005</v>
      </c>
      <c r="P41" s="5">
        <v>6.2404722599999998</v>
      </c>
      <c r="Q41" s="6">
        <v>3</v>
      </c>
      <c r="R41" s="6">
        <v>1.5</v>
      </c>
      <c r="S41" s="6">
        <v>3</v>
      </c>
      <c r="T41" s="5">
        <v>54.619300000000003</v>
      </c>
      <c r="U41" s="5">
        <v>6.9988999999999999</v>
      </c>
      <c r="V41" s="5">
        <v>5.1534000000000004</v>
      </c>
      <c r="W41" s="4">
        <v>0.73443847160723985</v>
      </c>
      <c r="X41" s="4">
        <v>1.5831717145158637E-2</v>
      </c>
    </row>
    <row r="42" spans="1:24" x14ac:dyDescent="0.25">
      <c r="A42">
        <v>2004</v>
      </c>
      <c r="B42" s="2" t="s">
        <v>82</v>
      </c>
      <c r="C42" t="str">
        <f>CONCATENATE(A42,"B", D42, "C", B42, "D", "00")</f>
        <v>2004B00C0457D00</v>
      </c>
      <c r="D42" s="2" t="s">
        <v>24</v>
      </c>
      <c r="E42" t="s">
        <v>25</v>
      </c>
      <c r="F42" s="3" t="s">
        <v>27</v>
      </c>
      <c r="G42" t="s">
        <v>30</v>
      </c>
      <c r="H42" t="s">
        <v>31</v>
      </c>
      <c r="I42" t="s">
        <v>31</v>
      </c>
      <c r="J42" s="5">
        <v>5.55</v>
      </c>
      <c r="K42" s="6">
        <v>2.5</v>
      </c>
      <c r="L42" s="6">
        <v>1.5</v>
      </c>
      <c r="M42" s="6">
        <v>2.5</v>
      </c>
      <c r="N42" s="5">
        <v>43.3743198788532</v>
      </c>
      <c r="O42" s="5">
        <v>5.8751657740000001</v>
      </c>
      <c r="P42" s="5">
        <v>4.0530398300000003</v>
      </c>
      <c r="Q42" s="6">
        <v>3</v>
      </c>
      <c r="R42" s="6">
        <v>1.5</v>
      </c>
      <c r="S42" s="6">
        <v>3</v>
      </c>
      <c r="T42" s="5">
        <v>52.527799999999999</v>
      </c>
      <c r="U42" s="5">
        <v>5.6113999999999997</v>
      </c>
      <c r="V42" s="9">
        <v>3.5223</v>
      </c>
      <c r="W42" s="4">
        <v>0.73827191748842846</v>
      </c>
      <c r="X42" s="4">
        <v>1.3449615654771263E-2</v>
      </c>
    </row>
    <row r="43" spans="1:24" x14ac:dyDescent="0.25">
      <c r="A43">
        <v>2004</v>
      </c>
      <c r="B43" s="2" t="s">
        <v>83</v>
      </c>
      <c r="C43" t="str">
        <f>CONCATENATE(A43,"B", D43, "C", B43, "D", "00")</f>
        <v>2004B00C0458D00</v>
      </c>
      <c r="D43" s="2" t="s">
        <v>24</v>
      </c>
      <c r="E43" t="s">
        <v>25</v>
      </c>
      <c r="F43" s="3" t="s">
        <v>27</v>
      </c>
      <c r="G43" t="s">
        <v>30</v>
      </c>
      <c r="H43" t="s">
        <v>31</v>
      </c>
      <c r="I43" t="s">
        <v>31</v>
      </c>
      <c r="J43" s="5">
        <v>5.53</v>
      </c>
      <c r="K43" s="6">
        <v>2</v>
      </c>
      <c r="L43" s="6">
        <v>1.5</v>
      </c>
      <c r="M43" s="6">
        <v>2.5</v>
      </c>
      <c r="N43" s="5">
        <v>43.2914846999562</v>
      </c>
      <c r="O43" s="5">
        <v>6.8467348589999997</v>
      </c>
      <c r="P43" s="5">
        <v>4.7605152610000001</v>
      </c>
      <c r="Q43" s="6">
        <v>3</v>
      </c>
      <c r="R43" s="6">
        <v>1.5</v>
      </c>
      <c r="S43" s="6">
        <v>3</v>
      </c>
      <c r="T43" s="5">
        <v>53.464399999999998</v>
      </c>
      <c r="U43" s="5">
        <v>6.9316000000000004</v>
      </c>
      <c r="V43" s="5">
        <v>5.3463000000000003</v>
      </c>
      <c r="W43" s="4">
        <v>0.73774913391028263</v>
      </c>
      <c r="X43" s="4">
        <v>1.7724706196619359E-2</v>
      </c>
    </row>
    <row r="44" spans="1:24" x14ac:dyDescent="0.25">
      <c r="A44">
        <v>2004</v>
      </c>
      <c r="B44" s="2" t="s">
        <v>39</v>
      </c>
      <c r="C44" t="str">
        <f>CONCATENATE(A44,"B", D44, "C", B44, "D", "00")</f>
        <v>2004B00C0408D00</v>
      </c>
      <c r="D44" s="2" t="s">
        <v>24</v>
      </c>
      <c r="E44" t="s">
        <v>25</v>
      </c>
      <c r="F44" s="3" t="s">
        <v>26</v>
      </c>
      <c r="G44" t="s">
        <v>30</v>
      </c>
      <c r="H44" t="s">
        <v>31</v>
      </c>
      <c r="I44" t="s">
        <v>31</v>
      </c>
      <c r="J44" s="5">
        <v>5.58</v>
      </c>
      <c r="K44" s="6">
        <v>3.5</v>
      </c>
      <c r="L44" s="6">
        <v>1.5</v>
      </c>
      <c r="M44" s="6">
        <v>3</v>
      </c>
      <c r="N44" s="5">
        <v>45.612274839999998</v>
      </c>
      <c r="O44" s="5">
        <v>5.8744673470000004</v>
      </c>
      <c r="P44" s="5">
        <v>3.6043935029999998</v>
      </c>
      <c r="Q44" s="6">
        <v>3</v>
      </c>
      <c r="R44" s="6">
        <v>2</v>
      </c>
      <c r="S44" s="6">
        <v>3.5</v>
      </c>
      <c r="T44" s="5">
        <v>50.167200000000001</v>
      </c>
      <c r="U44" s="5">
        <v>6.6157000000000004</v>
      </c>
      <c r="V44" s="5">
        <v>5.2359</v>
      </c>
      <c r="W44" s="4">
        <v>0.73958137330214524</v>
      </c>
      <c r="X44" s="4">
        <v>2.0627261299464156E-2</v>
      </c>
    </row>
    <row r="45" spans="1:24" x14ac:dyDescent="0.25">
      <c r="A45">
        <v>2004</v>
      </c>
      <c r="B45" s="12" t="s">
        <v>41</v>
      </c>
      <c r="C45" t="str">
        <f>CONCATENATE(A45,"B", D45, "C", B45, "D", "00")</f>
        <v>2004B00C0411D00</v>
      </c>
      <c r="D45" s="2" t="s">
        <v>24</v>
      </c>
      <c r="E45" t="s">
        <v>25</v>
      </c>
      <c r="F45" s="7" t="s">
        <v>26</v>
      </c>
      <c r="G45" t="s">
        <v>30</v>
      </c>
      <c r="H45" t="s">
        <v>31</v>
      </c>
      <c r="I45" t="s">
        <v>31</v>
      </c>
      <c r="J45" s="9">
        <v>5.53</v>
      </c>
      <c r="K45" s="8">
        <v>3</v>
      </c>
      <c r="L45" s="8">
        <v>2</v>
      </c>
      <c r="M45" s="8">
        <v>2.5</v>
      </c>
      <c r="N45" s="9">
        <v>51.495173170000001</v>
      </c>
      <c r="O45" s="9">
        <v>8.8914570509999997</v>
      </c>
      <c r="P45" s="9">
        <v>6.2828283799999998</v>
      </c>
      <c r="Q45" s="8">
        <v>3</v>
      </c>
      <c r="R45" s="8">
        <v>2</v>
      </c>
      <c r="S45" s="8">
        <v>3</v>
      </c>
      <c r="T45" s="9">
        <v>53.491300000000003</v>
      </c>
      <c r="U45" s="9">
        <v>7.3377999999999997</v>
      </c>
      <c r="V45" s="9">
        <v>4.8472999999999997</v>
      </c>
      <c r="W45" s="4">
        <v>0.75421130915244627</v>
      </c>
      <c r="X45" s="4">
        <v>1.9191302185187938E-2</v>
      </c>
    </row>
    <row r="46" spans="1:24" x14ac:dyDescent="0.25">
      <c r="A46">
        <v>2004</v>
      </c>
      <c r="B46" s="2" t="s">
        <v>48</v>
      </c>
      <c r="C46" t="str">
        <f>CONCATENATE(A46,"B", D46, "C", B46, "D", "00")</f>
        <v>2004B00C0418D00</v>
      </c>
      <c r="D46" s="2" t="s">
        <v>24</v>
      </c>
      <c r="E46" t="s">
        <v>25</v>
      </c>
      <c r="F46" s="3" t="s">
        <v>26</v>
      </c>
      <c r="G46" t="s">
        <v>29</v>
      </c>
      <c r="H46" t="s">
        <v>31</v>
      </c>
      <c r="I46" t="s">
        <v>31</v>
      </c>
      <c r="J46" s="5">
        <v>5.61</v>
      </c>
      <c r="K46" s="6">
        <v>3</v>
      </c>
      <c r="L46" s="6">
        <v>1.5</v>
      </c>
      <c r="M46" s="6">
        <v>3</v>
      </c>
      <c r="N46" s="5">
        <v>49.200038790000001</v>
      </c>
      <c r="O46" s="5">
        <v>8.2871161569999998</v>
      </c>
      <c r="P46" s="5">
        <v>5.4037954250000002</v>
      </c>
      <c r="Q46" s="6">
        <v>3</v>
      </c>
      <c r="R46" s="6">
        <v>2</v>
      </c>
      <c r="S46" s="6">
        <v>2.5</v>
      </c>
      <c r="T46" s="5">
        <v>57.880099999999999</v>
      </c>
      <c r="U46" s="5">
        <v>7.6092000000000004</v>
      </c>
      <c r="V46" s="5">
        <v>6.8945999999999996</v>
      </c>
      <c r="W46" s="4">
        <v>0.73507772179622732</v>
      </c>
      <c r="X46" s="4">
        <v>2.6209124794796604E-2</v>
      </c>
    </row>
    <row r="47" spans="1:24" x14ac:dyDescent="0.25">
      <c r="A47">
        <v>2004</v>
      </c>
      <c r="B47" s="2" t="s">
        <v>58</v>
      </c>
      <c r="C47" t="str">
        <f>CONCATENATE(A47,"B", D47, "C", B47, "D", "00")</f>
        <v>2004B00C0429D00</v>
      </c>
      <c r="D47" s="2" t="s">
        <v>24</v>
      </c>
      <c r="E47" t="s">
        <v>25</v>
      </c>
      <c r="F47" s="3" t="s">
        <v>27</v>
      </c>
      <c r="G47" t="s">
        <v>29</v>
      </c>
      <c r="H47" t="s">
        <v>31</v>
      </c>
      <c r="I47" t="s">
        <v>31</v>
      </c>
      <c r="J47" s="5">
        <v>5.52</v>
      </c>
      <c r="K47" s="6">
        <v>3</v>
      </c>
      <c r="L47" s="6">
        <v>1.5</v>
      </c>
      <c r="M47" s="6">
        <v>3</v>
      </c>
      <c r="N47" s="5">
        <v>50.015939729999999</v>
      </c>
      <c r="O47" s="5">
        <v>5.2252109500000001</v>
      </c>
      <c r="P47" s="5">
        <v>3.8133180790000001</v>
      </c>
      <c r="Q47" s="6">
        <v>3</v>
      </c>
      <c r="R47" s="6">
        <v>2</v>
      </c>
      <c r="S47" s="6">
        <v>3</v>
      </c>
      <c r="T47" s="5">
        <v>54.601599999999998</v>
      </c>
      <c r="U47" s="5">
        <v>6.4819000000000004</v>
      </c>
      <c r="V47" s="5">
        <v>6.1074000000000002</v>
      </c>
      <c r="W47" s="4">
        <v>0.74161938913038117</v>
      </c>
      <c r="X47" s="4">
        <v>2.4662209489273532E-2</v>
      </c>
    </row>
    <row r="48" spans="1:24" x14ac:dyDescent="0.25">
      <c r="A48">
        <v>2004</v>
      </c>
      <c r="B48" s="2" t="s">
        <v>71</v>
      </c>
      <c r="C48" t="str">
        <f>CONCATENATE(A48,"B", D48, "C", B48, "D", "00")</f>
        <v>2004B00C0444D00</v>
      </c>
      <c r="D48" s="2" t="s">
        <v>24</v>
      </c>
      <c r="E48" t="s">
        <v>25</v>
      </c>
      <c r="F48" s="3" t="s">
        <v>27</v>
      </c>
      <c r="G48" t="s">
        <v>29</v>
      </c>
      <c r="H48" t="s">
        <v>31</v>
      </c>
      <c r="I48" t="s">
        <v>31</v>
      </c>
      <c r="J48" s="5">
        <v>5.53</v>
      </c>
      <c r="K48" s="6">
        <v>3.5</v>
      </c>
      <c r="L48" s="6">
        <v>2</v>
      </c>
      <c r="M48" s="6">
        <v>3</v>
      </c>
      <c r="N48" s="5">
        <v>46.1</v>
      </c>
      <c r="O48" s="5">
        <v>7.9322438379999998</v>
      </c>
      <c r="P48" s="5">
        <v>3.9384728299999998</v>
      </c>
      <c r="Q48" s="6">
        <v>3</v>
      </c>
      <c r="R48" s="6">
        <v>2</v>
      </c>
      <c r="S48" s="6">
        <v>3</v>
      </c>
      <c r="T48" s="5">
        <v>53.838700000000003</v>
      </c>
      <c r="U48" s="5">
        <v>8.5721000000000007</v>
      </c>
      <c r="V48" s="5">
        <v>6.5103</v>
      </c>
      <c r="W48" s="4">
        <v>0.73830418745942394</v>
      </c>
      <c r="X48" s="4">
        <v>1.4382857859230228E-2</v>
      </c>
    </row>
    <row r="49" spans="1:24" x14ac:dyDescent="0.25">
      <c r="A49">
        <v>2004</v>
      </c>
      <c r="B49" s="2" t="s">
        <v>37</v>
      </c>
      <c r="C49" t="str">
        <f>CONCATENATE(A49,"B", D49, "C", B49, "D", "00")</f>
        <v>2004B00C0406D00</v>
      </c>
      <c r="D49" s="2" t="s">
        <v>24</v>
      </c>
      <c r="E49" t="s">
        <v>25</v>
      </c>
      <c r="F49" s="3" t="s">
        <v>26</v>
      </c>
      <c r="G49" t="s">
        <v>28</v>
      </c>
      <c r="H49" t="s">
        <v>31</v>
      </c>
      <c r="I49" t="s">
        <v>31</v>
      </c>
      <c r="J49" s="5">
        <v>5.52</v>
      </c>
      <c r="K49" s="6">
        <v>3</v>
      </c>
      <c r="L49" s="6">
        <v>1.5</v>
      </c>
      <c r="M49" s="6">
        <v>3.5</v>
      </c>
      <c r="N49" s="5">
        <v>42.877535979999998</v>
      </c>
      <c r="O49" s="5">
        <v>7.582745901</v>
      </c>
      <c r="P49" s="5">
        <v>4.4917102809999996</v>
      </c>
      <c r="Q49" s="6">
        <v>3</v>
      </c>
      <c r="R49" s="6">
        <v>2.5</v>
      </c>
      <c r="S49" s="6">
        <v>3</v>
      </c>
      <c r="T49" s="5">
        <v>54.045000000000002</v>
      </c>
      <c r="U49" s="5">
        <v>7.4081000000000001</v>
      </c>
      <c r="V49" s="5">
        <v>7.2031000000000001</v>
      </c>
      <c r="W49" s="4">
        <v>0.73902753209549665</v>
      </c>
      <c r="X49" s="4">
        <v>2.7008613653224843E-2</v>
      </c>
    </row>
    <row r="50" spans="1:24" x14ac:dyDescent="0.25">
      <c r="A50">
        <v>2004</v>
      </c>
      <c r="B50" s="2" t="s">
        <v>50</v>
      </c>
      <c r="C50" t="str">
        <f>CONCATENATE(A50,"B", D50, "C", B50, "D", "00")</f>
        <v>2004B00C0421D00</v>
      </c>
      <c r="D50" s="2" t="s">
        <v>24</v>
      </c>
      <c r="E50" t="s">
        <v>25</v>
      </c>
      <c r="F50" s="3" t="s">
        <v>26</v>
      </c>
      <c r="G50" t="s">
        <v>30</v>
      </c>
      <c r="H50" t="s">
        <v>31</v>
      </c>
      <c r="I50" t="s">
        <v>31</v>
      </c>
      <c r="J50" s="5">
        <v>5.53</v>
      </c>
      <c r="K50" s="6">
        <v>3.5</v>
      </c>
      <c r="L50" s="6">
        <v>1.5</v>
      </c>
      <c r="M50" s="6">
        <v>3</v>
      </c>
      <c r="N50" s="5">
        <v>46.162449930000001</v>
      </c>
      <c r="O50" s="5">
        <v>7.2296241129999999</v>
      </c>
      <c r="P50" s="5">
        <v>5.2719202120000004</v>
      </c>
      <c r="Q50" s="6">
        <v>3</v>
      </c>
      <c r="R50" s="6">
        <v>2.5</v>
      </c>
      <c r="S50" s="6">
        <v>3</v>
      </c>
      <c r="T50" s="5">
        <v>52.386800000000001</v>
      </c>
      <c r="U50" s="5">
        <v>8.1136999999999997</v>
      </c>
      <c r="V50" s="5">
        <v>5.9015000000000004</v>
      </c>
      <c r="W50" s="4">
        <v>0.73833648451552225</v>
      </c>
      <c r="X50" s="4">
        <v>2.8698720160546278E-2</v>
      </c>
    </row>
    <row r="51" spans="1:24" x14ac:dyDescent="0.25">
      <c r="A51">
        <v>2004</v>
      </c>
      <c r="B51" s="2" t="s">
        <v>60</v>
      </c>
      <c r="C51" t="str">
        <f>CONCATENATE(A51,"B", D51, "C", B51, "D", "00")</f>
        <v>2004B00C0432D00</v>
      </c>
      <c r="D51" s="2" t="s">
        <v>24</v>
      </c>
      <c r="E51" t="s">
        <v>25</v>
      </c>
      <c r="F51" s="3" t="s">
        <v>27</v>
      </c>
      <c r="G51" t="s">
        <v>30</v>
      </c>
      <c r="H51" t="s">
        <v>31</v>
      </c>
      <c r="I51" t="s">
        <v>31</v>
      </c>
      <c r="J51" s="5">
        <v>5.49</v>
      </c>
      <c r="K51" s="6">
        <v>3</v>
      </c>
      <c r="L51" s="6">
        <v>2</v>
      </c>
      <c r="M51" s="6">
        <v>2.5</v>
      </c>
      <c r="N51" s="5">
        <v>45.014382159999997</v>
      </c>
      <c r="O51" s="5">
        <v>6.3470055629999997</v>
      </c>
      <c r="P51" s="5">
        <v>4.4904443880000002</v>
      </c>
      <c r="Q51" s="6">
        <v>3</v>
      </c>
      <c r="R51" s="6">
        <v>2.5</v>
      </c>
      <c r="S51" s="6">
        <v>3</v>
      </c>
      <c r="T51" s="5">
        <v>53.756500000000003</v>
      </c>
      <c r="U51" s="5">
        <v>6.3672000000000004</v>
      </c>
      <c r="V51" s="5">
        <v>5.3636999999999997</v>
      </c>
      <c r="W51" s="4">
        <v>0.72839266052540885</v>
      </c>
      <c r="X51" s="4">
        <v>2.9876085275379403E-2</v>
      </c>
    </row>
    <row r="52" spans="1:24" x14ac:dyDescent="0.25">
      <c r="A52">
        <v>2004</v>
      </c>
      <c r="B52" s="2" t="s">
        <v>34</v>
      </c>
      <c r="C52" t="str">
        <f>CONCATENATE(A52,"B", D52, "C", B52, "D", "00")</f>
        <v>2004B00C0403D00</v>
      </c>
      <c r="D52" s="2" t="s">
        <v>24</v>
      </c>
      <c r="E52" t="s">
        <v>25</v>
      </c>
      <c r="F52" s="3" t="s">
        <v>26</v>
      </c>
      <c r="G52" t="s">
        <v>30</v>
      </c>
      <c r="H52" t="s">
        <v>31</v>
      </c>
      <c r="I52" t="s">
        <v>31</v>
      </c>
      <c r="J52" s="5">
        <v>5.54</v>
      </c>
      <c r="K52" s="6">
        <v>3</v>
      </c>
      <c r="L52" s="6">
        <v>1.5</v>
      </c>
      <c r="M52" s="6">
        <v>2.5</v>
      </c>
      <c r="N52" s="5">
        <v>49.23062272</v>
      </c>
      <c r="O52" s="5">
        <v>6.5120081809999997</v>
      </c>
      <c r="P52" s="5">
        <v>4.837736059</v>
      </c>
      <c r="Q52" s="6">
        <v>3</v>
      </c>
      <c r="R52" s="6">
        <v>3</v>
      </c>
      <c r="S52" s="6">
        <v>3</v>
      </c>
      <c r="T52" s="5">
        <v>53.894100000000002</v>
      </c>
      <c r="U52" s="5">
        <v>7.8247</v>
      </c>
      <c r="V52" s="5">
        <v>6.6700999999999997</v>
      </c>
      <c r="W52" s="4">
        <v>0.74202769499418331</v>
      </c>
      <c r="X52" s="4">
        <v>2.0227905679997927E-2</v>
      </c>
    </row>
    <row r="53" spans="1:24" x14ac:dyDescent="0.25">
      <c r="A53">
        <v>2004</v>
      </c>
      <c r="B53" s="2" t="s">
        <v>47</v>
      </c>
      <c r="C53" t="str">
        <f>CONCATENATE(A53,"B", D53, "C", B53, "D", "00")</f>
        <v>2004B00C0417D00</v>
      </c>
      <c r="D53" s="2" t="s">
        <v>24</v>
      </c>
      <c r="E53" t="s">
        <v>25</v>
      </c>
      <c r="F53" s="3" t="s">
        <v>26</v>
      </c>
      <c r="G53" t="s">
        <v>28</v>
      </c>
      <c r="H53" t="s">
        <v>31</v>
      </c>
      <c r="I53" t="s">
        <v>31</v>
      </c>
      <c r="J53" s="5">
        <v>5.56</v>
      </c>
      <c r="K53" s="6">
        <v>3</v>
      </c>
      <c r="L53" s="6">
        <v>2</v>
      </c>
      <c r="M53" s="6">
        <v>3.5</v>
      </c>
      <c r="N53" s="5">
        <v>49.711294420000002</v>
      </c>
      <c r="O53" s="5">
        <v>10.483393</v>
      </c>
      <c r="P53" s="5">
        <v>7.3895261410000002</v>
      </c>
      <c r="Q53" s="6">
        <v>3</v>
      </c>
      <c r="R53" s="6">
        <v>3</v>
      </c>
      <c r="S53" s="6">
        <v>3.5</v>
      </c>
      <c r="T53" s="5">
        <v>57.952500000000001</v>
      </c>
      <c r="U53" s="5">
        <v>10.494400000000001</v>
      </c>
      <c r="V53" s="10">
        <v>9.0213000000000001</v>
      </c>
      <c r="W53" s="4">
        <v>0.71640754397190176</v>
      </c>
      <c r="X53" s="4">
        <v>3.932278660123676E-2</v>
      </c>
    </row>
    <row r="54" spans="1:24" x14ac:dyDescent="0.25">
      <c r="A54">
        <v>2004</v>
      </c>
      <c r="B54" s="2" t="s">
        <v>62</v>
      </c>
      <c r="C54" t="str">
        <f>CONCATENATE(A54,"B", D54, "C", B54, "D", "00")</f>
        <v>2004B00C0434D00</v>
      </c>
      <c r="D54" s="2" t="s">
        <v>24</v>
      </c>
      <c r="E54" t="s">
        <v>25</v>
      </c>
      <c r="F54" s="3" t="s">
        <v>27</v>
      </c>
      <c r="G54" t="s">
        <v>28</v>
      </c>
      <c r="H54" t="s">
        <v>31</v>
      </c>
      <c r="I54" t="s">
        <v>31</v>
      </c>
      <c r="J54" s="5">
        <v>5.53</v>
      </c>
      <c r="K54" s="6">
        <v>3</v>
      </c>
      <c r="L54" s="6">
        <v>2</v>
      </c>
      <c r="M54" s="6">
        <v>3.5</v>
      </c>
      <c r="N54" s="5">
        <v>46.656703360000002</v>
      </c>
      <c r="O54" s="5">
        <v>9.7782140179999999</v>
      </c>
      <c r="P54" s="5">
        <v>6.8772515030000001</v>
      </c>
      <c r="Q54" s="6">
        <v>3</v>
      </c>
      <c r="R54" s="6">
        <v>3</v>
      </c>
      <c r="S54" s="6">
        <v>2.5</v>
      </c>
      <c r="T54" s="5">
        <v>54.522199999999998</v>
      </c>
      <c r="U54" s="5">
        <v>8.9159000000000006</v>
      </c>
      <c r="V54" s="5">
        <v>8.5771999999999995</v>
      </c>
      <c r="W54" s="4">
        <v>0.7430282447478973</v>
      </c>
      <c r="X54" s="4">
        <v>2.9677155772850239E-2</v>
      </c>
    </row>
    <row r="55" spans="1:24" x14ac:dyDescent="0.25">
      <c r="A55">
        <v>2004</v>
      </c>
      <c r="B55" s="2" t="s">
        <v>33</v>
      </c>
      <c r="C55" t="str">
        <f>CONCATENATE(A55,"B", D55, "C", B55, "D", "00")</f>
        <v>2004B00C0402D00</v>
      </c>
      <c r="D55" s="2" t="s">
        <v>24</v>
      </c>
      <c r="E55" t="s">
        <v>25</v>
      </c>
      <c r="F55" s="3" t="s">
        <v>26</v>
      </c>
      <c r="G55" t="s">
        <v>29</v>
      </c>
      <c r="H55" t="s">
        <v>31</v>
      </c>
      <c r="I55" t="s">
        <v>31</v>
      </c>
      <c r="J55" s="5">
        <v>5.53</v>
      </c>
      <c r="K55" s="6">
        <v>3</v>
      </c>
      <c r="L55" s="6">
        <v>2.5</v>
      </c>
      <c r="M55" s="6">
        <v>2.5</v>
      </c>
      <c r="N55" s="5">
        <v>46.870672140000003</v>
      </c>
      <c r="O55" s="5">
        <v>12.7641756</v>
      </c>
      <c r="P55" s="5">
        <v>8.1884435989999993</v>
      </c>
      <c r="Q55" s="6">
        <v>3</v>
      </c>
      <c r="R55" s="6">
        <v>3.5</v>
      </c>
      <c r="S55" s="6">
        <v>3</v>
      </c>
      <c r="T55" s="5">
        <v>57.963900000000002</v>
      </c>
      <c r="U55" s="5">
        <v>11.7181</v>
      </c>
      <c r="V55" s="10">
        <v>9.0670999999999999</v>
      </c>
      <c r="W55" s="4">
        <v>0.73650725618906809</v>
      </c>
      <c r="X55" s="4">
        <v>3.5026108227066866E-2</v>
      </c>
    </row>
  </sheetData>
  <autoFilter ref="A1:X55">
    <sortState ref="A2:X55">
      <sortCondition descending="1" ref="Q1:Q55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2024-02-07T02:20:21Z</dcterms:modified>
</cp:coreProperties>
</file>